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ingrammicro.sharepoint.com/sites/OG-CONTRATACINPBLICA/Shared Documents/Contratación Pública/"/>
    </mc:Choice>
  </mc:AlternateContent>
  <xr:revisionPtr revIDLastSave="4522" documentId="8_{B88BFB17-1FD6-4E25-B141-1B0C8504E84B}" xr6:coauthVersionLast="47" xr6:coauthVersionMax="47" xr10:uidLastSave="{62F9A5EC-DE7E-4E99-89BB-1527E33CA37F}"/>
  <bookViews>
    <workbookView xWindow="-75" yWindow="-16320" windowWidth="29040" windowHeight="15720" activeTab="1" xr2:uid="{463035C7-50FD-4F90-B371-60DDE8B063C5}"/>
  </bookViews>
  <sheets>
    <sheet name="GUIA GENERAL DPTO. SERVICIOS" sheetId="4" r:id="rId1"/>
    <sheet name="LICITACIONES" sheetId="1" r:id="rId2"/>
    <sheet name="Lista opciones" sheetId="2" r:id="rId3"/>
  </sheets>
  <definedNames>
    <definedName name="_xlnm._FilterDatabase" localSheetId="1" hidden="1">LICITACIONES!$A$1:$BD$99</definedName>
    <definedName name="_xlnm._FilterDatabase" localSheetId="2" hidden="1">'Lista opciones'!$AA$1:$AA$24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99" i="1" l="1"/>
  <c r="W99" i="1"/>
  <c r="E99" i="1"/>
  <c r="AD98" i="1"/>
  <c r="X98" i="1"/>
  <c r="W98" i="1"/>
  <c r="E98" i="1"/>
  <c r="AD97" i="1"/>
  <c r="X97" i="1"/>
  <c r="W97" i="1"/>
  <c r="E97" i="1"/>
  <c r="AD96" i="1"/>
  <c r="X96" i="1"/>
  <c r="W96" i="1"/>
  <c r="E96" i="1"/>
  <c r="AD95" i="1"/>
  <c r="X95" i="1"/>
  <c r="W95" i="1"/>
  <c r="E95" i="1"/>
  <c r="AD94" i="1"/>
  <c r="X94" i="1"/>
  <c r="W94" i="1"/>
  <c r="E94" i="1"/>
  <c r="X93" i="1"/>
  <c r="W93" i="1"/>
  <c r="E93" i="1"/>
  <c r="AD92" i="1"/>
  <c r="X92" i="1"/>
  <c r="W92" i="1"/>
  <c r="E92" i="1"/>
  <c r="AD91" i="1"/>
  <c r="X91" i="1"/>
  <c r="W91" i="1"/>
  <c r="E91" i="1"/>
  <c r="AD90" i="1"/>
  <c r="X90" i="1"/>
  <c r="W90" i="1"/>
  <c r="E90" i="1"/>
  <c r="AD89" i="1"/>
  <c r="X89" i="1"/>
  <c r="W89" i="1"/>
  <c r="E89" i="1"/>
  <c r="AD88" i="1"/>
  <c r="X88" i="1"/>
  <c r="W88" i="1"/>
  <c r="E88" i="1"/>
  <c r="AD87" i="1"/>
  <c r="X87" i="1"/>
  <c r="W87" i="1"/>
  <c r="E87" i="1"/>
  <c r="AD86" i="1"/>
  <c r="X86" i="1"/>
  <c r="W86" i="1"/>
  <c r="E86" i="1"/>
  <c r="AD85" i="1"/>
  <c r="X85" i="1"/>
  <c r="W85" i="1"/>
  <c r="E85" i="1"/>
  <c r="AD84" i="1"/>
  <c r="X84" i="1"/>
  <c r="W84" i="1"/>
  <c r="E84" i="1"/>
  <c r="AD83" i="1"/>
  <c r="X83" i="1"/>
  <c r="W83" i="1"/>
  <c r="E83" i="1"/>
  <c r="AD82" i="1"/>
  <c r="X82" i="1"/>
  <c r="W82" i="1"/>
  <c r="E82" i="1"/>
  <c r="AD81" i="1"/>
  <c r="X81" i="1"/>
  <c r="W81" i="1"/>
  <c r="E81" i="1"/>
  <c r="AD80" i="1"/>
  <c r="X80" i="1"/>
  <c r="W80" i="1"/>
  <c r="E80" i="1"/>
  <c r="AD79" i="1"/>
  <c r="X79" i="1"/>
  <c r="W79" i="1"/>
  <c r="E79" i="1"/>
  <c r="AD78" i="1"/>
  <c r="X78" i="1"/>
  <c r="W78" i="1"/>
  <c r="E78" i="1"/>
  <c r="AD77" i="1"/>
  <c r="X77" i="1"/>
  <c r="W77" i="1"/>
  <c r="E77" i="1"/>
  <c r="AD76" i="1"/>
  <c r="X76" i="1"/>
  <c r="W76" i="1"/>
  <c r="E76" i="1"/>
  <c r="AD75" i="1"/>
  <c r="X75" i="1"/>
  <c r="W75" i="1"/>
  <c r="Y86" i="1" l="1"/>
  <c r="Z86" i="1" s="1"/>
  <c r="Y94" i="1"/>
  <c r="Z94" i="1" s="1"/>
  <c r="Y95" i="1"/>
  <c r="Z95" i="1" s="1"/>
  <c r="Y99" i="1"/>
  <c r="Z99" i="1" s="1"/>
  <c r="Y92" i="1"/>
  <c r="Z92" i="1" s="1"/>
  <c r="Y96" i="1"/>
  <c r="Z96" i="1" s="1"/>
  <c r="Y89" i="1"/>
  <c r="Z89" i="1" s="1"/>
  <c r="Y93" i="1"/>
  <c r="Z93" i="1" s="1"/>
  <c r="Y97" i="1"/>
  <c r="Z97" i="1" s="1"/>
  <c r="Y98" i="1"/>
  <c r="Z98" i="1" s="1"/>
  <c r="Y88" i="1"/>
  <c r="Z88" i="1" s="1"/>
  <c r="Y90" i="1"/>
  <c r="Z90" i="1" s="1"/>
  <c r="Y91" i="1"/>
  <c r="Z91" i="1" s="1"/>
  <c r="Y87" i="1"/>
  <c r="Z87" i="1" s="1"/>
  <c r="Y85" i="1"/>
  <c r="Z85" i="1" s="1"/>
  <c r="Y78" i="1"/>
  <c r="Z78" i="1" s="1"/>
  <c r="Y75" i="1"/>
  <c r="Z75" i="1" s="1"/>
  <c r="Y82" i="1"/>
  <c r="Z82" i="1" s="1"/>
  <c r="Y83" i="1"/>
  <c r="Z83" i="1" s="1"/>
  <c r="Y79" i="1"/>
  <c r="Z79" i="1" s="1"/>
  <c r="Y80" i="1"/>
  <c r="Z80" i="1" s="1"/>
  <c r="Y77" i="1"/>
  <c r="Z77" i="1" s="1"/>
  <c r="Y84" i="1"/>
  <c r="Z84" i="1" s="1"/>
  <c r="Y81" i="1"/>
  <c r="Z81" i="1" s="1"/>
  <c r="Y76" i="1"/>
  <c r="Z76" i="1" s="1"/>
  <c r="E75" i="1"/>
  <c r="AD74" i="1"/>
  <c r="X74" i="1"/>
  <c r="W74" i="1"/>
  <c r="E74" i="1"/>
  <c r="AD73" i="1"/>
  <c r="X73" i="1"/>
  <c r="W73" i="1"/>
  <c r="E73" i="1"/>
  <c r="AD72" i="1"/>
  <c r="X72" i="1"/>
  <c r="W72" i="1"/>
  <c r="E72" i="1"/>
  <c r="Y72" i="1" l="1"/>
  <c r="Z72" i="1" s="1"/>
  <c r="Y73" i="1"/>
  <c r="Z73" i="1" s="1"/>
  <c r="Y74" i="1"/>
  <c r="Z74" i="1" s="1"/>
  <c r="AD71" i="1"/>
  <c r="X71" i="1"/>
  <c r="W71" i="1"/>
  <c r="E71" i="1"/>
  <c r="AD70" i="1"/>
  <c r="X70" i="1"/>
  <c r="W70" i="1"/>
  <c r="E70" i="1"/>
  <c r="X69" i="1"/>
  <c r="W69" i="1"/>
  <c r="E69" i="1"/>
  <c r="AD68" i="1"/>
  <c r="X68" i="1"/>
  <c r="W68" i="1"/>
  <c r="E68" i="1"/>
  <c r="AD67" i="1"/>
  <c r="X67" i="1"/>
  <c r="W67" i="1"/>
  <c r="E67" i="1"/>
  <c r="AD66" i="1"/>
  <c r="X66" i="1"/>
  <c r="W66" i="1"/>
  <c r="E66" i="1"/>
  <c r="AD65" i="1"/>
  <c r="X65" i="1"/>
  <c r="W65" i="1"/>
  <c r="E65" i="1"/>
  <c r="AD64" i="1"/>
  <c r="X64" i="1"/>
  <c r="W64" i="1"/>
  <c r="E64" i="1"/>
  <c r="AD63" i="1"/>
  <c r="X63" i="1"/>
  <c r="W63" i="1"/>
  <c r="E63" i="1"/>
  <c r="AD62" i="1"/>
  <c r="X62" i="1"/>
  <c r="W62" i="1"/>
  <c r="E62" i="1"/>
  <c r="AD61" i="1"/>
  <c r="X61" i="1"/>
  <c r="W61" i="1"/>
  <c r="E61" i="1"/>
  <c r="AD60" i="1"/>
  <c r="X60" i="1"/>
  <c r="W60" i="1"/>
  <c r="E60" i="1"/>
  <c r="AD59" i="1"/>
  <c r="AD58" i="1"/>
  <c r="AD57" i="1"/>
  <c r="X59" i="1"/>
  <c r="W59" i="1"/>
  <c r="E59" i="1"/>
  <c r="X58" i="1"/>
  <c r="W58" i="1"/>
  <c r="E58" i="1"/>
  <c r="X57" i="1"/>
  <c r="W57" i="1"/>
  <c r="E57" i="1"/>
  <c r="AD56" i="1"/>
  <c r="X56" i="1"/>
  <c r="W56" i="1"/>
  <c r="E56" i="1"/>
  <c r="X55" i="1"/>
  <c r="W55" i="1"/>
  <c r="E55" i="1"/>
  <c r="AD54" i="1"/>
  <c r="X54" i="1"/>
  <c r="W54" i="1"/>
  <c r="E54" i="1"/>
  <c r="AD53" i="1"/>
  <c r="X53" i="1"/>
  <c r="W53" i="1"/>
  <c r="E53" i="1"/>
  <c r="AD52" i="1"/>
  <c r="X52" i="1"/>
  <c r="W52" i="1"/>
  <c r="E52" i="1"/>
  <c r="AD51" i="1"/>
  <c r="X51" i="1"/>
  <c r="W51" i="1"/>
  <c r="E51" i="1"/>
  <c r="AD50" i="1"/>
  <c r="X50" i="1"/>
  <c r="W50" i="1"/>
  <c r="E50" i="1"/>
  <c r="AD49" i="1"/>
  <c r="X49" i="1"/>
  <c r="W49" i="1"/>
  <c r="E49" i="1"/>
  <c r="AD48" i="1"/>
  <c r="X48" i="1"/>
  <c r="W48" i="1"/>
  <c r="E48" i="1"/>
  <c r="AD47" i="1"/>
  <c r="X47" i="1"/>
  <c r="W47" i="1"/>
  <c r="E47" i="1"/>
  <c r="AD44" i="1"/>
  <c r="X44" i="1"/>
  <c r="W44" i="1"/>
  <c r="E44" i="1"/>
  <c r="AD39" i="1"/>
  <c r="X39" i="1"/>
  <c r="W39" i="1"/>
  <c r="E39" i="1"/>
  <c r="Y64" i="1" l="1"/>
  <c r="Z64" i="1" s="1"/>
  <c r="Y70" i="1"/>
  <c r="Z70" i="1" s="1"/>
  <c r="Y67" i="1"/>
  <c r="Z67" i="1" s="1"/>
  <c r="Y71" i="1"/>
  <c r="Z71" i="1" s="1"/>
  <c r="Y68" i="1"/>
  <c r="Z68" i="1" s="1"/>
  <c r="Y69" i="1"/>
  <c r="Z69" i="1" s="1"/>
  <c r="Y65" i="1"/>
  <c r="Z65" i="1" s="1"/>
  <c r="Y66" i="1"/>
  <c r="Z66" i="1" s="1"/>
  <c r="Y63" i="1"/>
  <c r="Z63" i="1" s="1"/>
  <c r="Y60" i="1"/>
  <c r="Z60" i="1" s="1"/>
  <c r="Y62" i="1"/>
  <c r="Z62" i="1" s="1"/>
  <c r="Y61" i="1"/>
  <c r="Z61" i="1" s="1"/>
  <c r="Y59" i="1"/>
  <c r="Z59" i="1" s="1"/>
  <c r="Y55" i="1"/>
  <c r="Z55" i="1" s="1"/>
  <c r="Y56" i="1"/>
  <c r="Z56" i="1" s="1"/>
  <c r="Y57" i="1"/>
  <c r="Z57" i="1" s="1"/>
  <c r="Y58" i="1"/>
  <c r="Z58" i="1" s="1"/>
  <c r="Y51" i="1"/>
  <c r="Z51" i="1" s="1"/>
  <c r="Y52" i="1"/>
  <c r="Z52" i="1" s="1"/>
  <c r="Y49" i="1"/>
  <c r="Z49" i="1" s="1"/>
  <c r="Y53" i="1"/>
  <c r="Z53" i="1" s="1"/>
  <c r="Y50" i="1"/>
  <c r="Z50" i="1" s="1"/>
  <c r="Y54" i="1"/>
  <c r="Z54" i="1" s="1"/>
  <c r="Y47" i="1"/>
  <c r="Z47" i="1" s="1"/>
  <c r="Y48" i="1"/>
  <c r="Z48" i="1" s="1"/>
  <c r="Y39" i="1"/>
  <c r="Z39" i="1" s="1"/>
  <c r="Y44" i="1"/>
  <c r="Z44" i="1" s="1"/>
  <c r="AD45" i="1"/>
  <c r="X45" i="1"/>
  <c r="W45" i="1"/>
  <c r="E45" i="1"/>
  <c r="AD29" i="1"/>
  <c r="X29" i="1"/>
  <c r="W29" i="1"/>
  <c r="E29" i="1"/>
  <c r="AD36" i="1"/>
  <c r="X36" i="1"/>
  <c r="W36" i="1"/>
  <c r="E36" i="1"/>
  <c r="AD23" i="1"/>
  <c r="X23" i="1"/>
  <c r="W23" i="1"/>
  <c r="E23" i="1"/>
  <c r="AD25" i="1"/>
  <c r="X25" i="1"/>
  <c r="W25" i="1"/>
  <c r="E25" i="1"/>
  <c r="AD43" i="1"/>
  <c r="X43" i="1"/>
  <c r="W43" i="1"/>
  <c r="E43" i="1"/>
  <c r="AD20" i="1"/>
  <c r="X20" i="1"/>
  <c r="W20" i="1"/>
  <c r="E20" i="1"/>
  <c r="AD41" i="1"/>
  <c r="X41" i="1"/>
  <c r="W41" i="1"/>
  <c r="E41" i="1"/>
  <c r="AD40" i="1"/>
  <c r="X40" i="1"/>
  <c r="W40" i="1"/>
  <c r="E40" i="1"/>
  <c r="E42" i="1"/>
  <c r="AD42" i="1"/>
  <c r="X42" i="1"/>
  <c r="W42" i="1"/>
  <c r="AD21" i="1"/>
  <c r="X21" i="1"/>
  <c r="W21" i="1"/>
  <c r="E21" i="1"/>
  <c r="AD24" i="1"/>
  <c r="X24" i="1"/>
  <c r="W24" i="1"/>
  <c r="Y45" i="1" l="1"/>
  <c r="Z45" i="1" s="1"/>
  <c r="Y29" i="1"/>
  <c r="Z29" i="1" s="1"/>
  <c r="Y20" i="1"/>
  <c r="Z20" i="1" s="1"/>
  <c r="Y36" i="1"/>
  <c r="Z36" i="1" s="1"/>
  <c r="Y40" i="1"/>
  <c r="Z40" i="1" s="1"/>
  <c r="Y41" i="1"/>
  <c r="Z41" i="1" s="1"/>
  <c r="Y43" i="1"/>
  <c r="Z43" i="1" s="1"/>
  <c r="Y25" i="1"/>
  <c r="Z25" i="1" s="1"/>
  <c r="Y23" i="1"/>
  <c r="Z23" i="1" s="1"/>
  <c r="Y24" i="1"/>
  <c r="Z24" i="1" s="1"/>
  <c r="Y21" i="1"/>
  <c r="Z21" i="1" s="1"/>
  <c r="Y42" i="1"/>
  <c r="Z42" i="1" s="1"/>
  <c r="E24" i="1"/>
  <c r="AD28" i="1"/>
  <c r="X28" i="1"/>
  <c r="W28" i="1"/>
  <c r="E28" i="1"/>
  <c r="X31" i="1"/>
  <c r="W31" i="1"/>
  <c r="E31" i="1"/>
  <c r="X30" i="1"/>
  <c r="W30" i="1"/>
  <c r="E30" i="1"/>
  <c r="AD19" i="1"/>
  <c r="X19" i="1"/>
  <c r="W19" i="1"/>
  <c r="E19" i="1"/>
  <c r="AD34" i="1"/>
  <c r="X34" i="1"/>
  <c r="W34" i="1"/>
  <c r="E34" i="1"/>
  <c r="AD17" i="1"/>
  <c r="X17" i="1"/>
  <c r="W17" i="1"/>
  <c r="E17" i="1"/>
  <c r="AD35" i="1"/>
  <c r="X35" i="1"/>
  <c r="W35" i="1"/>
  <c r="E35" i="1"/>
  <c r="AD7" i="1"/>
  <c r="X7" i="1"/>
  <c r="W7" i="1"/>
  <c r="E7" i="1"/>
  <c r="AD46" i="1"/>
  <c r="X46" i="1"/>
  <c r="W46" i="1"/>
  <c r="E46" i="1"/>
  <c r="AD38" i="1"/>
  <c r="X38" i="1"/>
  <c r="W38" i="1"/>
  <c r="E38" i="1"/>
  <c r="AD22" i="1"/>
  <c r="X22" i="1"/>
  <c r="W22" i="1"/>
  <c r="E22" i="1"/>
  <c r="AD27" i="1"/>
  <c r="X27" i="1"/>
  <c r="W27" i="1"/>
  <c r="E27" i="1"/>
  <c r="AD26" i="1"/>
  <c r="X26" i="1"/>
  <c r="W26" i="1"/>
  <c r="E26" i="1"/>
  <c r="AD32" i="1"/>
  <c r="X32" i="1"/>
  <c r="W32" i="1"/>
  <c r="E32" i="1"/>
  <c r="AD18" i="1"/>
  <c r="X18" i="1"/>
  <c r="W18" i="1"/>
  <c r="E18" i="1"/>
  <c r="AD16" i="1"/>
  <c r="X16" i="1"/>
  <c r="W16" i="1"/>
  <c r="E16" i="1"/>
  <c r="AD8" i="1"/>
  <c r="X8" i="1"/>
  <c r="W8" i="1"/>
  <c r="E8" i="1"/>
  <c r="AD15" i="1"/>
  <c r="X15" i="1"/>
  <c r="W15" i="1"/>
  <c r="E15" i="1"/>
  <c r="AD14" i="1"/>
  <c r="X14" i="1"/>
  <c r="W14" i="1"/>
  <c r="E14" i="1"/>
  <c r="AD33" i="1"/>
  <c r="X33" i="1"/>
  <c r="W33" i="1"/>
  <c r="W12" i="1"/>
  <c r="X12" i="1"/>
  <c r="AD12" i="1"/>
  <c r="E33" i="1"/>
  <c r="E12" i="1"/>
  <c r="AD11" i="1"/>
  <c r="X11" i="1"/>
  <c r="W11" i="1"/>
  <c r="E11" i="1"/>
  <c r="AD10" i="1"/>
  <c r="X10" i="1"/>
  <c r="W10" i="1"/>
  <c r="E10" i="1"/>
  <c r="AD9" i="1"/>
  <c r="X9" i="1"/>
  <c r="W9" i="1"/>
  <c r="E9" i="1"/>
  <c r="AD13" i="1"/>
  <c r="X13" i="1"/>
  <c r="W13" i="1"/>
  <c r="E13" i="1"/>
  <c r="AD37" i="1"/>
  <c r="AD6" i="1"/>
  <c r="AD5" i="1"/>
  <c r="X37" i="1"/>
  <c r="W37" i="1"/>
  <c r="E37" i="1"/>
  <c r="X6" i="1"/>
  <c r="W6" i="1"/>
  <c r="E6" i="1"/>
  <c r="X5" i="1"/>
  <c r="W5" i="1"/>
  <c r="E5" i="1"/>
  <c r="AD4" i="1"/>
  <c r="X4" i="1"/>
  <c r="W4" i="1"/>
  <c r="E4" i="1"/>
  <c r="AD3" i="1"/>
  <c r="X3" i="1"/>
  <c r="W3" i="1"/>
  <c r="E3" i="1"/>
  <c r="Y12" i="1" l="1"/>
  <c r="Z12" i="1" s="1"/>
  <c r="Y46" i="1"/>
  <c r="Z46" i="1" s="1"/>
  <c r="Y34" i="1"/>
  <c r="Z34" i="1" s="1"/>
  <c r="Y28" i="1"/>
  <c r="Z28" i="1" s="1"/>
  <c r="Y30" i="1"/>
  <c r="Z30" i="1" s="1"/>
  <c r="Y31" i="1"/>
  <c r="Z31" i="1" s="1"/>
  <c r="Y16" i="1"/>
  <c r="Z16" i="1" s="1"/>
  <c r="Y19" i="1"/>
  <c r="Z19" i="1" s="1"/>
  <c r="Y14" i="1"/>
  <c r="Z14" i="1" s="1"/>
  <c r="Y18" i="1"/>
  <c r="Z18" i="1" s="1"/>
  <c r="Y7" i="1"/>
  <c r="Z7" i="1" s="1"/>
  <c r="Y15" i="1"/>
  <c r="Z15" i="1" s="1"/>
  <c r="Y22" i="1"/>
  <c r="Z22" i="1" s="1"/>
  <c r="Y32" i="1"/>
  <c r="Z32" i="1" s="1"/>
  <c r="Y35" i="1"/>
  <c r="Z35" i="1" s="1"/>
  <c r="Y8" i="1"/>
  <c r="Z8" i="1" s="1"/>
  <c r="Y38" i="1"/>
  <c r="Z38" i="1" s="1"/>
  <c r="Y33" i="1"/>
  <c r="Z33" i="1" s="1"/>
  <c r="Y26" i="1"/>
  <c r="Z26" i="1" s="1"/>
  <c r="Y17" i="1"/>
  <c r="Z17" i="1" s="1"/>
  <c r="Y27" i="1"/>
  <c r="Z27" i="1" s="1"/>
  <c r="Y37" i="1"/>
  <c r="Z37" i="1" s="1"/>
  <c r="Y10" i="1"/>
  <c r="Z10" i="1" s="1"/>
  <c r="Y13" i="1"/>
  <c r="Z13" i="1" s="1"/>
  <c r="Y9" i="1"/>
  <c r="Z9" i="1" s="1"/>
  <c r="Y11" i="1"/>
  <c r="Z11" i="1" s="1"/>
  <c r="Y6" i="1"/>
  <c r="Z6" i="1" s="1"/>
  <c r="Y5" i="1"/>
  <c r="Z5" i="1" s="1"/>
  <c r="Y4" i="1"/>
  <c r="Z4" i="1" s="1"/>
  <c r="Y3" i="1"/>
  <c r="Z3" i="1" s="1"/>
  <c r="W2" i="1"/>
  <c r="X2" i="1"/>
  <c r="Y2" i="1" l="1"/>
  <c r="Z2" i="1" s="1"/>
  <c r="AD2" i="1" l="1"/>
  <c r="E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Giraldo, Cristina</author>
  </authors>
  <commentList>
    <comment ref="H1" authorId="0" shapeId="0" xr:uid="{83D35AA1-EB6B-4D44-AEF2-FF649E72EFF4}">
      <text>
        <r>
          <rPr>
            <sz val="9"/>
            <color indexed="81"/>
            <rFont val="Tahoma"/>
            <family val="2"/>
          </rPr>
          <t xml:space="preserve">Dejo la primera área Tecnológica </t>
        </r>
        <r>
          <rPr>
            <b/>
            <sz val="9"/>
            <color indexed="81"/>
            <rFont val="Tahoma"/>
            <family val="2"/>
          </rPr>
          <t xml:space="preserve">que sea </t>
        </r>
        <r>
          <rPr>
            <sz val="9"/>
            <color indexed="81"/>
            <rFont val="Tahoma"/>
            <family val="2"/>
          </rPr>
          <t>de interés</t>
        </r>
      </text>
    </comment>
    <comment ref="AU1" authorId="0" shapeId="0" xr:uid="{79754883-C5FF-43BE-BD15-DF61DFCE04F6}">
      <text>
        <r>
          <rPr>
            <b/>
            <sz val="9"/>
            <color indexed="81"/>
            <rFont val="Tahoma"/>
            <family val="2"/>
          </rPr>
          <t>Giraldo, Cristina:</t>
        </r>
        <r>
          <rPr>
            <sz val="9"/>
            <color indexed="81"/>
            <rFont val="Tahoma"/>
            <family val="2"/>
          </rPr>
          <t xml:space="preserve">
Sólo rellenar en caso de ser VARIOS</t>
        </r>
      </text>
    </comment>
    <comment ref="AX1" authorId="0" shapeId="0" xr:uid="{29FF029A-2E0C-45D0-A027-20E7A4CDC876}">
      <text>
        <r>
          <rPr>
            <b/>
            <sz val="9"/>
            <color indexed="81"/>
            <rFont val="Tahoma"/>
            <family val="2"/>
          </rPr>
          <t>Giraldo, Cristina:</t>
        </r>
        <r>
          <rPr>
            <sz val="9"/>
            <color indexed="81"/>
            <rFont val="Tahoma"/>
            <family val="2"/>
          </rPr>
          <t xml:space="preserve">
Genrar una oportunidad solo con la 1ra cotización</t>
        </r>
      </text>
    </comment>
    <comment ref="BD1" authorId="0" shapeId="0" xr:uid="{F8BBAFE3-8003-44EC-AD20-25A31671BF23}">
      <text>
        <r>
          <rPr>
            <b/>
            <sz val="9"/>
            <color indexed="81"/>
            <rFont val="Tahoma"/>
            <family val="2"/>
          </rPr>
          <t>Giraldo, Cristina:</t>
        </r>
        <r>
          <rPr>
            <sz val="9"/>
            <color indexed="81"/>
            <rFont val="Tahoma"/>
            <family val="2"/>
          </rPr>
          <t xml:space="preserve">
Sólo rellenar en caso de ser un adjudicatario no incluido en la lista desplegable (TOP)</t>
        </r>
      </text>
    </comment>
  </commentList>
</comments>
</file>

<file path=xl/sharedStrings.xml><?xml version="1.0" encoding="utf-8"?>
<sst xmlns="http://schemas.openxmlformats.org/spreadsheetml/2006/main" count="2055" uniqueCount="834">
  <si>
    <t>ÁREAS TECNOLÓGICAS DE INTERÉS</t>
  </si>
  <si>
    <t>Área Tecnológica</t>
  </si>
  <si>
    <t>CAT 1</t>
  </si>
  <si>
    <t>CAT 2</t>
  </si>
  <si>
    <t>CAT 3</t>
  </si>
  <si>
    <t>POSIBLE PROVEEDOR</t>
  </si>
  <si>
    <t>» SERVICIOS » OUTSOURCING IT » ASISTENCIA TéCNICA</t>
  </si>
  <si>
    <t>SERVICIOS</t>
  </si>
  <si>
    <t xml:space="preserve"> OUTSOURCING IT </t>
  </si>
  <si>
    <t xml:space="preserve"> ASISTENCIA TéCNICA</t>
  </si>
  <si>
    <t>ZELENZA</t>
  </si>
  <si>
    <t>» SERVICIOS » OUTSOURCING IT » SERVICIOS GESTIONADOS</t>
  </si>
  <si>
    <t xml:space="preserve"> SERVICIOS GESTIONADOS</t>
  </si>
  <si>
    <t>ZELENZA / SEMIC</t>
  </si>
  <si>
    <t>» SERVICIOS » OUTSOURCING IT » INTEGRACIóN/MIGRACIóN DE SISTEMAS</t>
  </si>
  <si>
    <t xml:space="preserve"> INTEGRACIóN/MIGRACIóN DE SISTEMAS</t>
  </si>
  <si>
    <t>ZELENZA / OXIONA</t>
  </si>
  <si>
    <t>» SERVICIOS » OUTSOURCING IT » SERVICIOS DE CIBERSEGURIDAD - SOC</t>
  </si>
  <si>
    <t xml:space="preserve"> SERVICIOS DE CIBERSEGURIDAD - SOC</t>
  </si>
  <si>
    <t>» SERVICIOS » OUTSOURCING IT » OFICINA TéCNICA</t>
  </si>
  <si>
    <t xml:space="preserve"> OFICINA TéCNICA</t>
  </si>
  <si>
    <t>» SERVICIOS » MANTENIMIENTO » SOPORTE</t>
  </si>
  <si>
    <t xml:space="preserve"> MANTENIMIENTO </t>
  </si>
  <si>
    <t xml:space="preserve"> SOPORTE</t>
  </si>
  <si>
    <t>» SERVICIOS » MANTENIMIENTO » MANTENIMIENTO SISTEMAS/HARDWARE</t>
  </si>
  <si>
    <t xml:space="preserve"> MANTENIMIENTO SISTEMAS/HARDWARE</t>
  </si>
  <si>
    <t>» SERVICIOS » MANTENIMIENTO » HELPDESK</t>
  </si>
  <si>
    <t xml:space="preserve"> HELPDESK</t>
  </si>
  <si>
    <t>» SERVICIOS » MANTENIMIENTO » PROYECTOS DE MONITORIZACIóN</t>
  </si>
  <si>
    <t xml:space="preserve"> PROYECTOS DE MONITORIZACIóN</t>
  </si>
  <si>
    <t>» SERVICIOS » SERVICIOS CLOUD » SAAS</t>
  </si>
  <si>
    <t xml:space="preserve"> SERVICIOS CLOUD </t>
  </si>
  <si>
    <t xml:space="preserve"> SAAS</t>
  </si>
  <si>
    <t>» SERVICIOS » SERVICIOS CLOUD » IAAS</t>
  </si>
  <si>
    <t xml:space="preserve"> IAAS</t>
  </si>
  <si>
    <t>» SERVICIOS » SERVICIOS CLOUD » OTROS SERVICIOS CLOUD</t>
  </si>
  <si>
    <t xml:space="preserve"> OTROS SERVICIOS CLOUD</t>
  </si>
  <si>
    <t>» SERVICIOS » SERVICIOS CLOUD » PAAS</t>
  </si>
  <si>
    <t xml:space="preserve"> PAAS</t>
  </si>
  <si>
    <t>» SERVICIOS » CONSULTORíA » SEGURIDAD/RGPD</t>
  </si>
  <si>
    <t xml:space="preserve"> CONSULTORíA </t>
  </si>
  <si>
    <t xml:space="preserve"> SEGURIDAD/RGPD</t>
  </si>
  <si>
    <t>» SERVICIOS » CONSULTORíA » IT/TECNOLOGíA</t>
  </si>
  <si>
    <t xml:space="preserve"> IT/TECNOLOGíA</t>
  </si>
  <si>
    <t>» SERVICIOS » CONSULTORíA » NEGOCIO</t>
  </si>
  <si>
    <t xml:space="preserve"> NEGOCIO</t>
  </si>
  <si>
    <t>» SERVICIOS » CONSULTORíA » CALIDAD</t>
  </si>
  <si>
    <t xml:space="preserve"> CALIDAD</t>
  </si>
  <si>
    <t>» HARDWARE » ALMACENAMIENTO » ALMACENAMIENTO HIGH END</t>
  </si>
  <si>
    <t>HARDWARE</t>
  </si>
  <si>
    <t xml:space="preserve"> ALMACENAMIENTO </t>
  </si>
  <si>
    <t xml:space="preserve"> ALMACENAMIENTO HIGH END</t>
  </si>
  <si>
    <t>» HARDWARE » ALMACENAMIENTO » ALMACENAMIENTO MODULAR</t>
  </si>
  <si>
    <t xml:space="preserve"> ALMACENAMIENTO MODULAR</t>
  </si>
  <si>
    <t>» HARDWARE » ALMACENAMIENTO » SWITCHES SAN</t>
  </si>
  <si>
    <t xml:space="preserve"> SWITCHES SAN</t>
  </si>
  <si>
    <t>» HARDWARE » AUDIOVISUALES » SISTEMAS AUDIOVISUALES</t>
  </si>
  <si>
    <t xml:space="preserve"> AUDIOVISUALES </t>
  </si>
  <si>
    <t xml:space="preserve"> SISTEMAS AUDIOVISUALES</t>
  </si>
  <si>
    <t>» HARDWARE » AUDIOVISUALES » PROYECTOS DE AULAS DIGITALES</t>
  </si>
  <si>
    <t xml:space="preserve"> PROYECTOS DE AULAS DIGITALES</t>
  </si>
  <si>
    <t>» HARDWARE » AUDIOVISUALES » KIOSCOS DE INFORMACIóN</t>
  </si>
  <si>
    <t xml:space="preserve"> KIOSCOS DE INFORMACIóN</t>
  </si>
  <si>
    <t>» HARDWARE » AUDIOVISUALES » VIDEOCONFERENCIA</t>
  </si>
  <si>
    <t xml:space="preserve"> VIDEOCONFERENCIA</t>
  </si>
  <si>
    <t>» HARDWARE » BACKUP HARDWARE » APPLIANCES</t>
  </si>
  <si>
    <t xml:space="preserve"> BACKUP HARDWARE </t>
  </si>
  <si>
    <t xml:space="preserve"> APPLIANCES</t>
  </si>
  <si>
    <t>» HARDWARE » CIBERSEGURIDAD » FIREWALLS</t>
  </si>
  <si>
    <t xml:space="preserve"> CIBERSEGURIDAD </t>
  </si>
  <si>
    <t xml:space="preserve"> FIREWALLS</t>
  </si>
  <si>
    <t>» HARDWARE » CIBERSEGURIDAD » SEGURIDAD PERIMETRAL</t>
  </si>
  <si>
    <t xml:space="preserve"> SEGURIDAD PERIMETRAL</t>
  </si>
  <si>
    <t>» HARDWARE » CIBERSEGURIDAD » OTROS CIBERSEGURIDAD</t>
  </si>
  <si>
    <t xml:space="preserve"> OTROS CIBERSEGURIDAD</t>
  </si>
  <si>
    <t>» HARDWARE » INFRAESTRUCTURA CPD » CPD</t>
  </si>
  <si>
    <t xml:space="preserve"> INFRAESTRUCTURA CPD </t>
  </si>
  <si>
    <t xml:space="preserve"> CPD</t>
  </si>
  <si>
    <t>» HARDWARE » INFRAESTRUCTURA CPD » SAIS</t>
  </si>
  <si>
    <t xml:space="preserve"> SAIS</t>
  </si>
  <si>
    <t>» HARDWARE » INFRAESTRUCTURA CPD » CABLEADO</t>
  </si>
  <si>
    <t xml:space="preserve"> CABLEADO</t>
  </si>
  <si>
    <t>» HARDWARE » MICROINFORMáTICA » PCS</t>
  </si>
  <si>
    <t xml:space="preserve"> MICROINFORMáTICA </t>
  </si>
  <si>
    <t xml:space="preserve"> PCS</t>
  </si>
  <si>
    <t>» HARDWARE » MICROINFORMáTICA » IMPRESORAS/MULTIFUNCIONALES/SCANNER</t>
  </si>
  <si>
    <t xml:space="preserve"> IMPRESORAS/MULTIFUNCIONALES/SCANNER</t>
  </si>
  <si>
    <t>» HARDWARE » MICROINFORMáTICA » PORTáTILES</t>
  </si>
  <si>
    <t xml:space="preserve"> PORTáTILES</t>
  </si>
  <si>
    <t>» HARDWARE » MICROINFORMáTICA » COMPONENTES</t>
  </si>
  <si>
    <t xml:space="preserve"> COMPONENTES</t>
  </si>
  <si>
    <t>» HARDWARE » MICROINFORMáTICA » CONSUMIBLES</t>
  </si>
  <si>
    <t xml:space="preserve"> CONSUMIBLES</t>
  </si>
  <si>
    <t>» HARDWARE » MICROINFORMáTICA » TERMINALES LIGEROS</t>
  </si>
  <si>
    <t xml:space="preserve"> TERMINALES LIGEROS</t>
  </si>
  <si>
    <t>» HARDWARE » MICROINFORMáTICA » TABLETS</t>
  </si>
  <si>
    <t xml:space="preserve"> TABLETS</t>
  </si>
  <si>
    <t>» HARDWARE » MICROINFORMáTICA » DISPOSITIVOS APPLE</t>
  </si>
  <si>
    <t xml:space="preserve"> DISPOSITIVOS APPLE</t>
  </si>
  <si>
    <t>» HARDWARE » SEGURIDAD » SISTEMAS DE CONTROL</t>
  </si>
  <si>
    <t xml:space="preserve"> SEGURIDAD </t>
  </si>
  <si>
    <t xml:space="preserve"> SISTEMAS DE CONTROL</t>
  </si>
  <si>
    <t>» HARDWARE » SERVIDORES » SERVIDORES HIGH END</t>
  </si>
  <si>
    <t xml:space="preserve"> SERVIDORES </t>
  </si>
  <si>
    <t xml:space="preserve"> SERVIDORES HIGH END</t>
  </si>
  <si>
    <t>» HARDWARE » SERVIDORES » HIPERCONVERGENCIA (EDGE COMPUTING)</t>
  </si>
  <si>
    <t xml:space="preserve"> HIPERCONVERGENCIA (EDGE COMPUTING)</t>
  </si>
  <si>
    <t>» HARDWARE » SERVIDORES » SERVIDORES HPC</t>
  </si>
  <si>
    <t xml:space="preserve"> SERVIDORES HPC</t>
  </si>
  <si>
    <t>» HARDWARE » SERVIDORES » SERVIDORES DEPARTAMENTALES</t>
  </si>
  <si>
    <t xml:space="preserve"> SERVIDORES DEPARTAMENTALES</t>
  </si>
  <si>
    <t>» HARDWARE » TELECOMUNICACIONES » ELECTRóNICA DE RED</t>
  </si>
  <si>
    <t xml:space="preserve"> TELECOMUNICACIONES </t>
  </si>
  <si>
    <t xml:space="preserve"> ELECTRóNICA DE RED</t>
  </si>
  <si>
    <t>» HARDWARE » TELECOMUNICACIONES » INTERNET DE LAS COSAS (IOT)</t>
  </si>
  <si>
    <t xml:space="preserve"> INTERNET DE LAS COSAS (IOT)</t>
  </si>
  <si>
    <t>» HARDWARE » TELECOMUNICACIONES » WIFI</t>
  </si>
  <si>
    <t xml:space="preserve"> WIFI</t>
  </si>
  <si>
    <t>» HARDWARE » TELECOMUNICACIONES » BALANCEADORES</t>
  </si>
  <si>
    <t xml:space="preserve"> BALANCEADORES</t>
  </si>
  <si>
    <t>Fecha</t>
  </si>
  <si>
    <t>Título</t>
  </si>
  <si>
    <t>Subsanación</t>
  </si>
  <si>
    <t>Número de expediente</t>
  </si>
  <si>
    <t>Control expediente</t>
  </si>
  <si>
    <t>CPV</t>
  </si>
  <si>
    <t>Importe licitacion</t>
  </si>
  <si>
    <t>Área Tecnológica de interés?</t>
  </si>
  <si>
    <t>Ámbito geográfico del licitador</t>
  </si>
  <si>
    <t>Comunidad autónoma del licitador</t>
  </si>
  <si>
    <t>Provincia</t>
  </si>
  <si>
    <t>Organismo licitador</t>
  </si>
  <si>
    <t>Mercado vertical</t>
  </si>
  <si>
    <t>Competencia</t>
  </si>
  <si>
    <t>Tipo de procedimiento</t>
  </si>
  <si>
    <t>Duración (meses)</t>
  </si>
  <si>
    <t>Prórrogas (meses)</t>
  </si>
  <si>
    <t>Fecha límite oferta</t>
  </si>
  <si>
    <t>Fecha límite oferta_sin_hora</t>
  </si>
  <si>
    <t>Fecha actual</t>
  </si>
  <si>
    <t>dif fechas</t>
  </si>
  <si>
    <t>Plazo de presentació de ofertas</t>
  </si>
  <si>
    <t>Objetivo (precio)</t>
  </si>
  <si>
    <t>Objetivo (mejoras)</t>
  </si>
  <si>
    <t>Subjetivos</t>
  </si>
  <si>
    <t>Total puntos (control)</t>
  </si>
  <si>
    <t>Owner</t>
  </si>
  <si>
    <t>ESTADO</t>
  </si>
  <si>
    <t>CONFIGURACIONES INGRAM</t>
  </si>
  <si>
    <t>ZELENZIA</t>
  </si>
  <si>
    <t>OXIONA</t>
  </si>
  <si>
    <t>SOLUTIA</t>
  </si>
  <si>
    <t>PLEXUS</t>
  </si>
  <si>
    <t>SEMIC</t>
  </si>
  <si>
    <t>HUB-TECH</t>
  </si>
  <si>
    <t>ATTENTO</t>
  </si>
  <si>
    <t>EMESA</t>
  </si>
  <si>
    <t>ADER</t>
  </si>
  <si>
    <t>UPPERSOLUTIONS</t>
  </si>
  <si>
    <t>DREAMOPTION</t>
  </si>
  <si>
    <t>PROVEEDOR SELECCIONADO</t>
  </si>
  <si>
    <t>PROVEEDORES SELECCIONADOS</t>
  </si>
  <si>
    <t>COMENTARIOS</t>
  </si>
  <si>
    <t>CLIENTE 1</t>
  </si>
  <si>
    <t>COTIZACIÓN 1</t>
  </si>
  <si>
    <t>CLIENTE 2</t>
  </si>
  <si>
    <t>COTIZACIÓN 2</t>
  </si>
  <si>
    <t>CLIENTE 3</t>
  </si>
  <si>
    <t>COTIZACIÓN 3</t>
  </si>
  <si>
    <t>ADJUDICATARIO</t>
  </si>
  <si>
    <t>ADJUDICATARIO OTRO</t>
  </si>
  <si>
    <t>Suministro de Equipos y Material Informático diverso y Licencias y Paquetes de Software. Lote 1: Equipo y material informático</t>
  </si>
  <si>
    <t>Se añaden los pliegos</t>
  </si>
  <si>
    <t>SDA-TIC/2-21CC_lote1</t>
  </si>
  <si>
    <t>30200000 - Equipo y material informático
32232000 - Equipo de videoconferencia
32300000 - Receptores de televisión y radio, y aparatos de grabación o reproducción de sonido o imagen
38651600 - Cámaras fotográficas digitales
48000000 - Paquetes de software y sistemas de información</t>
  </si>
  <si>
    <t>SI</t>
  </si>
  <si>
    <t xml:space="preserve"> HARDWARE </t>
  </si>
  <si>
    <t>Comunitat Valenciana</t>
  </si>
  <si>
    <t>CONSEJERÍA DE HACIENDA, ECONOMÍA Y ADMINISTRACIÓN PÚBLICA - CENTRAL DE COMPRAS DE LA GENERALITAT VALENCIANA</t>
  </si>
  <si>
    <t>EDUCACIÓN</t>
  </si>
  <si>
    <t>Hacienda y Administraciones Públicas</t>
  </si>
  <si>
    <t>Sistema Dinámico de Adquisición</t>
  </si>
  <si>
    <t>12/03/2029 · 23:59h</t>
  </si>
  <si>
    <t>Suministro de Equipos y Material Informático diverso y Licencias y Paquetes de Software. Lote 3: Paquetes de software y sistemas de información.</t>
  </si>
  <si>
    <t>SDA-TIC/2-21CC_lote3</t>
  </si>
  <si>
    <t>V30200000 - Equipo y material informático
32232000 - Equipo de videoconferencia
32300000 - Receptores de televisión y radio, y aparatos de grabación o reproducción de sonido o imagen
38651600 - Cámaras fotográficas digitales
48000000 - Paquetes de software y sistemas de información</t>
  </si>
  <si>
    <t>Suministro de Equipos y Material Informático diverso y Licencias y Paquetes de Software. Lote 6: -Paquetes de software y sistemas de información.</t>
  </si>
  <si>
    <t>SDA-TIC/2-21CC_lote6</t>
  </si>
  <si>
    <t>Suministro de Equipos y Material Informático diverso y Licencias y Paquetes de Software. Lote 2: Equipo y material informático.</t>
  </si>
  <si>
    <t>SDA-TIC/2-21CC_lote2</t>
  </si>
  <si>
    <t>Suministro de Equipos y Material Informático diverso y Licencias y Paquetes de Software. Lote 4: Paquetes de software y sistemas de información</t>
  </si>
  <si>
    <t>SDA-TIC/2-21CC_lote4</t>
  </si>
  <si>
    <t>Contrato mixto de suministro de equipos informáticos para los puestos de trabajo del Ayuntamiento de Gijón, sus Organismos Autónomos y Empresas Municipales, por procedimiento abierto, sujeto a regulación armonizada, con varios criterios de adjudicación</t>
  </si>
  <si>
    <t>Se adjunta PPT y PCAP</t>
  </si>
  <si>
    <t>144976F/2024</t>
  </si>
  <si>
    <t>30200000 - Equipo y material informático
50312000 - Mantenimiento y reparación de equipo informático
72500000 - Servicios informáticos</t>
  </si>
  <si>
    <t>Asturias, Principado de</t>
  </si>
  <si>
    <t>Asturias</t>
  </si>
  <si>
    <t>AYUNTAMIENTO DE GIJÓN</t>
  </si>
  <si>
    <t>OTROS EELL</t>
  </si>
  <si>
    <t>Abierto</t>
  </si>
  <si>
    <t>16/04/2026 · 17:00h</t>
  </si>
  <si>
    <t>Ahmed</t>
  </si>
  <si>
    <t>2. COTIZACIÓN SOLICITADA (A PROVEEDOR)</t>
  </si>
  <si>
    <t>revisado 10-04-26</t>
  </si>
  <si>
    <t>Servicio para evolución y despliegue del sistema orion</t>
  </si>
  <si>
    <t>DNA 31/2026</t>
  </si>
  <si>
    <t>51300000 - Servicios de instalación de equipos de comunicaciones</t>
  </si>
  <si>
    <t>Madrid, Comunidad de</t>
  </si>
  <si>
    <t>Madrid</t>
  </si>
  <si>
    <t>DIRECCIÓN ECONÓMICO-FINANCIERA DE ENAIRE</t>
  </si>
  <si>
    <t>TRANSPORTE</t>
  </si>
  <si>
    <t>Fomento</t>
  </si>
  <si>
    <t>22/04/2026 · 23:59h</t>
  </si>
  <si>
    <t>Actualización servidores transcodificación y gestión procesos digitales</t>
  </si>
  <si>
    <t>S-00960-2026</t>
  </si>
  <si>
    <t>48820000-Servidores - undefined
32000000-Equipos de radio, televisión, comunicaciones y telecomunicaciones y equipos conexos - undefined
32523000-Instalaciones de telecomunicaciones. - undefined</t>
  </si>
  <si>
    <t>CORPORACIÓN DE RADIO Y TELEVISIÓN ESPAÑOLA, S.A. (RTVE)</t>
  </si>
  <si>
    <t>INFORMACIÓN Y COMUNICACIONES</t>
  </si>
  <si>
    <t>06/04/2026 · 14:00h</t>
  </si>
  <si>
    <t>Suministro de contenedores para la recogida selectiva domiciliaria y suministro, gestión y mantenimiento de cerraduras electrónicas</t>
  </si>
  <si>
    <t>2025OZER0033</t>
  </si>
  <si>
    <t>42961100 - Sistema de control de acceso
44521120 - Cerraduras de seguridad electrónicas
44613800 - Contenedores para residuos
50312600 - Mantenimiento y reparación de equipo de tecnología de la información
48000000 - Paquetes de software y sistemas de información
64216110 - Servicios de intercambio electrónico de datos</t>
  </si>
  <si>
    <t>País Vasco</t>
  </si>
  <si>
    <t>Gipuzkoa</t>
  </si>
  <si>
    <t>AYUNTAMIENTO DE ERRENTERÍA</t>
  </si>
  <si>
    <t>08/04/2026 · 13:00h</t>
  </si>
  <si>
    <t>Servicios de operación de control central, continuidad y mantenimiento del equipamiento técnico de RTPA.</t>
  </si>
  <si>
    <t>07/26 RTPA</t>
  </si>
  <si>
    <t>92220000 - Servicios de televisión
50312600 - Mantenimiento y reparación de equipo de tecnología de la información
50340000 - Servicios de reparación y mantenimiento de equipos audiovisual y óptico</t>
  </si>
  <si>
    <t>RADIOTELEVISIÓN DEL PRINCIPIADO DE ASTURIAS</t>
  </si>
  <si>
    <t>Educación, Cultura y Deporte</t>
  </si>
  <si>
    <t>08/04/2026 · 23:59h</t>
  </si>
  <si>
    <t>Arrendamiento y mantenimiento de sistemas de almacenamiento y backup para la Subdirección de Sistemas y Tecnologías de la Información del Área de Salud de Ourense, Verín y O Barco de Valdeorras. Lote 1: Almacenamiento en disco</t>
  </si>
  <si>
    <t>AB-ASO1-26-011_lote1</t>
  </si>
  <si>
    <t>30200000 - Equipo y material informático
48000000 - Paquetes de software y sistemas de información</t>
  </si>
  <si>
    <t>Galicia</t>
  </si>
  <si>
    <t>Ourense</t>
  </si>
  <si>
    <t>SERVICIO GALLEGO DE SALUD (SERGAS)</t>
  </si>
  <si>
    <t>SANIDAD</t>
  </si>
  <si>
    <t>Sanidad, Servicios Sociales e Igualdad</t>
  </si>
  <si>
    <t>07/04/2026 · 14:00h</t>
  </si>
  <si>
    <t>Contratación, en modalidad de adquisición, del sistema de almacenamiento primario y elementos relacionados para FREMAP, Mutua colaboradora con la Seguridad Social nº61</t>
  </si>
  <si>
    <t>LICT/99/032/2025/0095</t>
  </si>
  <si>
    <t>30200000 - Equipo y material informático</t>
  </si>
  <si>
    <t>FREMAP</t>
  </si>
  <si>
    <t>EMPLEO Y SEGURIDAD SOCIAL</t>
  </si>
  <si>
    <t>23/04/2026 · 14:00h</t>
  </si>
  <si>
    <t>Suministro, instalación y servicio de mantenimiento y soporte de infraestructuras y servicios inalámbricos (wifi) de la GRS</t>
  </si>
  <si>
    <t>0000-009-1-2026-15778</t>
  </si>
  <si>
    <t>50312310 - Mantenimiento de equipos de redes de datos
32500000 - Equipo y material para telecomunicaciones</t>
  </si>
  <si>
    <t>Castilla y León</t>
  </si>
  <si>
    <t>Valladolid</t>
  </si>
  <si>
    <t>GERENCIA REGIONAL DE SALUD DE CASTILLA Y LEÓN</t>
  </si>
  <si>
    <t>09/04/2026 · 23:59h</t>
  </si>
  <si>
    <t>Servicio De Project Management Para Proyectos De Mejora De Instalaciones De Seguridad</t>
  </si>
  <si>
    <t>Ampliación de la presentación de ofertas al día 23/03/2026</t>
  </si>
  <si>
    <t>DSA-642/2025</t>
  </si>
  <si>
    <t>72000000 - Servicios TI: consultoría, desarrollo de software, Internet y apoyo</t>
  </si>
  <si>
    <t>AENA. DIRECCIÓN DE CONTRATACIÓN</t>
  </si>
  <si>
    <t>23/03/2026 · 23:59h</t>
  </si>
  <si>
    <t>Acuerdo Marco para sistemas audiovisuales de la Autoridad Portuaria de Barcelona en salas de reuniones y formacion. Clave de expediente: 2025R330035</t>
  </si>
  <si>
    <t>2026-00056</t>
  </si>
  <si>
    <t>32320000 - Equipo audiovisual y de televisión
32232000 - Equipo de videoconferencia
51310000 - Servicios de instalación de equipos de radio, televisión, sonido y vídeo</t>
  </si>
  <si>
    <t>Catalunya</t>
  </si>
  <si>
    <t>Barcelona</t>
  </si>
  <si>
    <t>AUTORIDAD PORTUARIA DE BARCELONA</t>
  </si>
  <si>
    <t>Acuerdo Marco</t>
  </si>
  <si>
    <t>24/04/2026 · 11:00h</t>
  </si>
  <si>
    <t>Ampliación de la presentación de ofertas</t>
  </si>
  <si>
    <t>24/04/2026 · 12:00h</t>
  </si>
  <si>
    <t>Contratación de los suministros de equipamiento informático IOS y Digitalización para BATERA en modalidad de arrendamiento (renting). Lote 2: Digitalización</t>
  </si>
  <si>
    <t>EJIE-2026-024_lote2</t>
  </si>
  <si>
    <t>30213100 - Ordenadores portátiles
30213200 - Tabletas digitales
30213300 - Ordenadores de mesa
30216110 - Escáneres para uso informático</t>
  </si>
  <si>
    <t>SOCIEDAD INFORMÁTICA DEL GOBIERNO VASCO (EJIE)</t>
  </si>
  <si>
    <t>CIENCIA E INNOVACIÓN</t>
  </si>
  <si>
    <t>10/04/2026 · 10:00h</t>
  </si>
  <si>
    <t>Suministro de tablets para el uso de la historia clínica digital en movilidad por el personal de servicios de urgencias de atención primaria (suap) y centro de emergencias sanitarias 061 en el marco del plan de recuperación, transformación y resiliencia, financiado por la unión europea next generation-eu (mrr)</t>
  </si>
  <si>
    <t>CONTR 2026 0000103579</t>
  </si>
  <si>
    <t>30230000 - Equipo relacionado con la informática</t>
  </si>
  <si>
    <t>Andalucía</t>
  </si>
  <si>
    <t>Málaga</t>
  </si>
  <si>
    <t>SERVICIO ANDALUZ DE SALUD (SAS)</t>
  </si>
  <si>
    <t>24/04/2026 · 15:00h</t>
  </si>
  <si>
    <t>Suministro de equipos informáticos para la UPV/EHU. Lote 1: Equipos de sobremesa</t>
  </si>
  <si>
    <t>6/26 PA_lote1</t>
  </si>
  <si>
    <t>30213100 - Ordenadores portátiles</t>
  </si>
  <si>
    <t>EDUCACIÓN, CULTURA Y DEPORTES</t>
  </si>
  <si>
    <t>24/04/2026 · 23:59h</t>
  </si>
  <si>
    <t>Suministro para la ampliación de la infraestructura de los repositorios de Copias de Seguridad de EJIE</t>
  </si>
  <si>
    <t>EJIE-2026-036</t>
  </si>
  <si>
    <t>30234000 - Soportes de almacenamiento
48710000 - Paquetes de software de copia de seguridad o recuperación
50312000 - Mantenimiento y reparación de equipo informático</t>
  </si>
  <si>
    <t>Araba/Álava</t>
  </si>
  <si>
    <t>27/04/2026 · 10:00h</t>
  </si>
  <si>
    <t>Obras de renovación de la instalación de climatización y de las instalaciones de megafonía y cableado estructurado de la escuela judicial de vallvidrera. barcelona. consejo general del poder judicial</t>
  </si>
  <si>
    <t>MES-2026-01</t>
  </si>
  <si>
    <t>45331200 - Trabajos de instalación de ventilación y aire acondicionado
45314300 - Infraestructura para cables</t>
  </si>
  <si>
    <t>DIRECCIÓN GENERAL DEL PATRIMONIO DEL ESTADO</t>
  </si>
  <si>
    <t>ECONOMÍA Y HACIENDA</t>
  </si>
  <si>
    <t>01/04/2026 · 14:00h</t>
  </si>
  <si>
    <t>Contratación de servicios de gestión y evolución de la plataforma de servidores UNIX, sistemas de almacenamiento y herramientas de monitorización y copia de seguridad del Servicio Gallego de Salud. Cofinanciado en un 60 % con fondos FEDER Galicia 2021-2027, Objetivo Político Op 1; Objetivo Específico OE 1.2; Línea de Acción 1.2.02.</t>
  </si>
  <si>
    <t>AB-SER1-26-036</t>
  </si>
  <si>
    <t>72240000 - Servicios de análisis de sistemas y de programación
72250000 - Servicios de sistemas y apoyo
72246000 - Servicios de consultoría en sistemas</t>
  </si>
  <si>
    <t>Coruña, A</t>
  </si>
  <si>
    <t>27/04/2026 · 14:00h</t>
  </si>
  <si>
    <t>Suministro de Pantallas para Digital Signage y Soportes, así como Servicios de mantenimiento preventivo, hardware in situ y de atención y diagnóstico de segundo nivel.</t>
  </si>
  <si>
    <t>26/133</t>
  </si>
  <si>
    <t>30231300 - Pantallas de visualización
30237260 - Soportes murales para monitores
50312600 - Mantenimiento y reparación de equipo de tecnología de la información</t>
  </si>
  <si>
    <t>CONSEJO DE AMINISTRACIÓN DE LA SOCIEDAD LOTERÍAS Y APUESTAS DEL ESTADO</t>
  </si>
  <si>
    <t>OTROS</t>
  </si>
  <si>
    <t>08/05/2026 · 15:00h</t>
  </si>
  <si>
    <t>Suministro de equipamiento informático, licencias de especialización departamental y servicios de TI.</t>
  </si>
  <si>
    <t>OC-1891/26 (SDA)</t>
  </si>
  <si>
    <t>30120000 - Fotocopiadoras, máquinas offset e impresoras
30200000 - Equipo y material informático
31154000 - Suministros ininterrumpidos de energía
32232000 - Equipo de videoconferencia
32400000 - Redes
48000000 - Paquetes de software y sistemas de información
48800000 - Sistemas y servidores de información
64200000 - Servicios de telecomunicaciones
72000000 - Servicios TI: consultoría, desarrollo de software, Internet y apoyo
72317000 - Servicios de almacenamiento de datos</t>
  </si>
  <si>
    <t>AYUNTAMIENTO DE ALZIRA</t>
  </si>
  <si>
    <t>29/04/2030 · 23:59h</t>
  </si>
  <si>
    <t>Oscar</t>
  </si>
  <si>
    <t>Suministro mediante arrendamiento sin opción de compra (Renting) de dispositivos para profesorado del Departamento de Educación</t>
  </si>
  <si>
    <t>EJIE-2026-005</t>
  </si>
  <si>
    <t>17/04/2026 · 10:00h</t>
  </si>
  <si>
    <t>Contratación de los suministros de equipamiento informático de sobremesa y portátil para BATERA en modalidad de arrendamiento (renting).</t>
  </si>
  <si>
    <t>EJIE-2026-023</t>
  </si>
  <si>
    <t>30213100 - Ordenadores portátiles
30213200 - Tabletas digitales
30213300 - Ordenadores de mesa</t>
  </si>
  <si>
    <t>29/04/2026 · 23:59h</t>
  </si>
  <si>
    <t>Sistema dinámico de adquisición para la acreditación de proveedores de equipamiento de centro de procesamiento de datos y control de accesos y servicios asociados para las entidades que integran el grupo de compra. centralizar la selección de proveedores para establecer las condiciones procedimentales y de ejecución para la contratación del suministro de equipamiento de centro de procesamiento de datos y control de accesos, así como de los servicios asociados necesarios para su correcta implantación....</t>
  </si>
  <si>
    <t>E2580_lote1</t>
  </si>
  <si>
    <t>30233100 - Unidades de memoria
45314310 - Tendido de cables
45314320 - Instalación de cableado informático
48820000 - Servidores
45315100 - Trabajos de instalación de ingeniería eléctrica
48822000 - Servidores de ordenador
42961100 - Sistema de control de acceso
45310000 - Trabajos de instalación eléctrica
31154000 - Suministros ininterrumpidos de energía
45311100 - Trabajos de cableado eléctrico
31122000 - Generadores con máquina impulsora</t>
  </si>
  <si>
    <t>CONSORCIO DE SERVICIOS UNIVERSITARIOS DE CATALUÑA</t>
  </si>
  <si>
    <t>23/03/2029 · 23:59h</t>
  </si>
  <si>
    <t>E2580: Sistema Dinámico de Adquisición para la acreditación de proveedores de equipamiento de centro de procesamiento de datos y control de accesos y servicios asociados para las Entidades que integran el grupo de compra Categoría 2</t>
  </si>
  <si>
    <t>E2580_lote2</t>
  </si>
  <si>
    <t>35120000 - Sistemas y dispositivos de vigilancia y seguridad
71356300 - Servicios de apoyo técnico
30231300 - Pantallas de visualización
32321200 - Equipo audiovisual
31710000 - Equipo electrónico
31682210 - Equipo de instrumentación y control
42961100 - Sistema de control de acceso
48810000 - Sistemas de información</t>
  </si>
  <si>
    <t>Obras de instalación de un sistema de megafonía de emergencia general para los centros de operaciones de Carabanchel, Sanchinarro y Entrevías de la Empresa Municipal de Transportes de Madrid, S.A.</t>
  </si>
  <si>
    <t>25/117/1</t>
  </si>
  <si>
    <t>45210000 - Trabajos de construcción de inmuebles
35111400 - Equipo de evacuación de emergencia
48952000 - Sistemas de megafonía
51313000 - Servicios de instalación de equipo de sonido</t>
  </si>
  <si>
    <t>EMPRESA MUNICIPAL DE TRANSPORTES DE MADRID (EMT MADRID)</t>
  </si>
  <si>
    <t>14/04/2026 · 23:59h</t>
  </si>
  <si>
    <t>Suministro de mezcladores de audio digital para estudios de radio</t>
  </si>
  <si>
    <t>2026.15</t>
  </si>
  <si>
    <t>32000000 - Equipos de radio, televisión, comunicaciones y telecomunicaciones y equipos conexos</t>
  </si>
  <si>
    <t>Bizkaia</t>
  </si>
  <si>
    <t>DEPARTAMENTO DE INGENIERÍA Y EXPLOTACION DE ETB</t>
  </si>
  <si>
    <t>Industria, Energía y Turismo</t>
  </si>
  <si>
    <t>15/04/2026 · 13:00h</t>
  </si>
  <si>
    <t>Estacionamiento regulado en vía pública zona ORA y del área de zonas de servicio para autocaravanas del Concejo de Llanes</t>
  </si>
  <si>
    <t>CON/2025/119</t>
  </si>
  <si>
    <t>98351000 - Servicios de gestión de aparcamientos
51214000 - Servicios de instalación de equipos de parquímetros
63712400 - Servicios de estacionamiento</t>
  </si>
  <si>
    <t>AYUNTAMIENTO DE LLANES</t>
  </si>
  <si>
    <t>15/04/2026 · 23:59h</t>
  </si>
  <si>
    <t>Concesión para la gestión del estacionamiento regulado y otros aspectos relacionados con el estacionamiento en la vía pública del municipio de Castro-Urdiales</t>
  </si>
  <si>
    <t>40265/2025</t>
  </si>
  <si>
    <t>98351000 - Servicios de gestión de aparcamientos
50118110 - Servicios de remolque de vehículos</t>
  </si>
  <si>
    <t>Cantabria</t>
  </si>
  <si>
    <t>AYUNTAMIENTO DE CASTRO-URDIALES</t>
  </si>
  <si>
    <t>16/04/2026 · 23:59h</t>
  </si>
  <si>
    <t>Servicio de vigilancia remota de personas penadas</t>
  </si>
  <si>
    <t>JU-2026-281</t>
  </si>
  <si>
    <t>79710000 - Servicios de seguridad</t>
  </si>
  <si>
    <t>DEPARTAMENTO DE JUSTICIA Y CALIDAD DEMOCRÁTICA</t>
  </si>
  <si>
    <t>JUSTICIA</t>
  </si>
  <si>
    <t>Justicia</t>
  </si>
  <si>
    <t>16/04/2026 · 14:00h</t>
  </si>
  <si>
    <t>Contratación del servicio de impresión gestionado (MPS) para FREMAP, Mutua Colaboradora con la Seguridad Social nº 61</t>
  </si>
  <si>
    <t>LICT/99/032/2024/0270</t>
  </si>
  <si>
    <t>79800000 - Servicios de impresión y servicios conexos</t>
  </si>
  <si>
    <t>17/04/2026 · 14:00h</t>
  </si>
  <si>
    <t>Suministro, instalación y puesta en producción de equipamientos de distribución de clave cuántica (Proyecto Encriptación Cuántica Generalitat de Catalunya)</t>
  </si>
  <si>
    <t>CTTI-2026-36</t>
  </si>
  <si>
    <t>32420000 - Equipo de red</t>
  </si>
  <si>
    <t>CENTRO DE TELECOMUNICACIONES Y TECNOLOGÍAS DE LA INFORMACIÓN DE LA GENERALITAT DE CATALUÑA (CTTI)</t>
  </si>
  <si>
    <t>17/04/2026 · 12:00h</t>
  </si>
  <si>
    <t>Suministro, instalación, y mantenimiento, en la modalidad de renting, de cajeros automáticos en municipios de la Comunidad de Madrid de menos de 5.000 habitantes</t>
  </si>
  <si>
    <t>A/SUM-044413/2025</t>
  </si>
  <si>
    <t>30123200 - Cajeros automáticos</t>
  </si>
  <si>
    <t>CONSEJERÍA DE PRESIDENCIA, JUSTICIA Y ADMINISTRACIÓN LOCAL DE LA COMUNIDAD DE MADRID</t>
  </si>
  <si>
    <t>Presidencia</t>
  </si>
  <si>
    <t>17/04/2026 · 23:59h</t>
  </si>
  <si>
    <t>Suministro e instalación de cámaras de cctv y su infraestructura en los palacios de justicia de la comunidad autónoma del país vasco.</t>
  </si>
  <si>
    <t>C03/008/2025</t>
  </si>
  <si>
    <t>32424000 - Infraestructura de red
35120000 - Sistemas y dispositivos de vigilancia y seguridad
48000000 - Paquetes de software y sistemas de información
72210000 - Servicios de programación de paquetes de software</t>
  </si>
  <si>
    <t>JUSTICIA Y DERECHOS HUMANOS DEL PAIS VASCO</t>
  </si>
  <si>
    <t>INDUSTRIA, ENERGÍA Y TURISMO</t>
  </si>
  <si>
    <t>23/04/2026 · 12:00h</t>
  </si>
  <si>
    <t>Contratación del suministro de los ficheros informáticos necesarios junto con las licencias asociadas necesarias para el diseño e implementación del SoC que incluya todos los circuitos IPs necesarios para la fabricación de un chip funcional para Barcelona Supercomputing Center – Centro Nacional de Supercomputación (BSC-CNS) en el marco del Plan De Recuperación, Transformación y Resiliencia. Lote 3</t>
  </si>
  <si>
    <t>CONSU02025033OP_lote3</t>
  </si>
  <si>
    <t>31712110 - Circuitos integrados y microestructuras electrónicas
48000000 - Paquetes de software y sistemas de información</t>
  </si>
  <si>
    <t>DIRECCIÓN DE BARCELONA SUPERCOMPUTING CENTER - CENTRO NACIONAL DE SUPERCOMPUTACIÓN (BSC-CNS)</t>
  </si>
  <si>
    <t>Economía y Competitividad</t>
  </si>
  <si>
    <t>Suministro por fabricación de doce sistemas optrónicos giroestabilizados de visión térmica y diurna e instalación en doce embarcaciones de la flota del Departamento de Aduanas e II.EE.</t>
  </si>
  <si>
    <t>35125000 - Sistema de vigilancia</t>
  </si>
  <si>
    <t>AEAT - AGENCIA ESTATAL DE ADMINISTRACION TRIBUTARIA</t>
  </si>
  <si>
    <t>28/04/2026 · 17:30h</t>
  </si>
  <si>
    <t>Suministro y operación de un sistema de gestión de vídeo para el control del tráfico</t>
  </si>
  <si>
    <t>2026/PA/013</t>
  </si>
  <si>
    <t>34923000 - Equipo de control del tráfico rodado</t>
  </si>
  <si>
    <t>AYUNTAMIENTO DE POZUELO DE ALARCÓN</t>
  </si>
  <si>
    <t>Contratación del servicio de impresión gestionado (MPS) para FREMAP, Mutua Colaboradora con la Seguridad Social nº 61.</t>
  </si>
  <si>
    <t>Se añade nuevo PCAP</t>
  </si>
  <si>
    <t>30/04/2026 · 14:00h</t>
  </si>
  <si>
    <t>Contratación de La Ejecución De La Obra Audiovisual En El Edificio B Del Palacio De Congresos Y Exposiciones De Madrid Para Alojar La Nueva Sede De La Onu Turismo.</t>
  </si>
  <si>
    <t>020025C00134</t>
  </si>
  <si>
    <t>32310000 - Receptores de radiodifusión
32320000 - Equipo audiovisual y de televisión
32321000 - Equipo de proyección de televisión
32321100 - Equipo de vídeo y filmación
32321200 - Equipo audiovisual
32321300 - Materiales audiovisuales
32322000 - Equipo multimedia
32323000 - Videomonitores
32323100 - Videomonitores color
32323300 - Equipo de vídeo
32323400 - Equipo de reproducción de vídeo</t>
  </si>
  <si>
    <t>INSTITUTO DE TURISMO DE ESPAÑA (TURESPAÑA)</t>
  </si>
  <si>
    <t>Simplificado</t>
  </si>
  <si>
    <t>04/05/2026 · 19:00h</t>
  </si>
  <si>
    <t xml:space="preserve">
Contrato de servicios de desarrollo de software de peaje y suministro, instalación y puesta en marcha de máquinas todo pago en las autopistas de peaje R4, AP-36, R3, R5, AP-41 y R2</t>
  </si>
  <si>
    <t>20261006-V</t>
  </si>
  <si>
    <t>72000000 - Servicios TI: consultoría, desarrollo de software, Internet y apoyo
34927000 - Equipo para peajes
63712210 - Servicios de peaje en autopistas
72267100 - Mantenimiento de software de tecnología de la información</t>
  </si>
  <si>
    <t>SOCIEDAD ESTATAL DE INFRAESTRUCTURAS DEL TRANSPORTE TERRESTRE</t>
  </si>
  <si>
    <t>12/05/2026 · 14:00h</t>
  </si>
  <si>
    <t>Contratación de los servicios de impresión del Ayuntamiento de València.</t>
  </si>
  <si>
    <t>04101/2025/237-SER</t>
  </si>
  <si>
    <t>79521000 - Servicios de fotocopia
79520000 - Servicios de reprografía</t>
  </si>
  <si>
    <t>Valencia</t>
  </si>
  <si>
    <t>AYUNTAMIENTO DE VALENCIA</t>
  </si>
  <si>
    <t>INTERIOR, EMERGENCIAS Y PROTECCIÓN CIVIL</t>
  </si>
  <si>
    <t>07/05/2026 · 23:59h</t>
  </si>
  <si>
    <t>Suministro de infraestructuras de sistemas para proyectos de Atención Primaria del Servicio Murciano de Salud en el marco del Plan de Recuperación, Transformación y Resiliencia financiado por la Unión Europea (Nextgeneration-EU) Lote 1: Suministro de hardware</t>
  </si>
  <si>
    <t>CS/9900/1101209711/26/PA_lote1</t>
  </si>
  <si>
    <t>Murcia, Región de</t>
  </si>
  <si>
    <t>Murcia</t>
  </si>
  <si>
    <t>SERVICIO MURCIANO DE SALUD (SMS)</t>
  </si>
  <si>
    <t>23/04/2026 · 23:59h</t>
  </si>
  <si>
    <t>Contratación de SERVICIOS habituales en el marco de un Sistema Dinámico de Adquisición.</t>
  </si>
  <si>
    <t>4243/2025</t>
  </si>
  <si>
    <t>72150000 - Servicios de consultoría en auditoría informática y en equipo informático
72210000 - Servicios de programación de paquetes de software
72500000 - Servicios informáticos
72417000 - Nombres de dominio de Internet
72317000 - Servicios de almacenamiento de datos
50334400 - Servicios de mantenimiento de sistemas de comunicaciones
92130000 - Servicios de proyección cinematográfica
51313000 - Servicios de instalación de equipo de sonido</t>
  </si>
  <si>
    <t>Alicante</t>
  </si>
  <si>
    <t>AYUNTAMIENTO DE COX</t>
  </si>
  <si>
    <t>Renovación a UHD IP los estudios 5 Y 6 en San Cugat. Lote 9: Equipamiento e integración</t>
  </si>
  <si>
    <t>S-03533-2025_lote9</t>
  </si>
  <si>
    <t>18/05/2026 · 14:00h</t>
  </si>
  <si>
    <t>Renovación a uhd ip los estudios 5 y 6 en san cugat. Lote 1: Ampliación del sistema de cámaras</t>
  </si>
  <si>
    <t>S-03533-2025_lote1</t>
  </si>
  <si>
    <t>32000000 - Equipos de radio, televisión, comunicaciones y telecomunicaciones y equipos conexos.</t>
  </si>
  <si>
    <t>Suministro de servidores para desarrollo de algoritmos de inteligencia artificial, destinado al Instituto de Física Corpuscular de la Agencia Estatal Consejo Superior de Investigaciones Científicas.</t>
  </si>
  <si>
    <t>34822/26</t>
  </si>
  <si>
    <t>30200000 - Equipo y material informático
48800000 - Sistemas y servidores de información.
30200000 - Equipo y material informático
48800000 - Sistemas y servidores de información</t>
  </si>
  <si>
    <t>PRESIDENCIA DE LA AGENCIA ESTATAL CONSEJO SUPERIOR DE INVESTIGACIONES CIENTÍFICAS, M.P.</t>
  </si>
  <si>
    <t>13/05/2026 · 14:00h</t>
  </si>
  <si>
    <t>Suministro, instalación y mantenimiento de los sistemas de interfonía, megafonía y control de accesos peatonales de la APB. Clave de expediente: 2025R320051</t>
  </si>
  <si>
    <t>2025-00396</t>
  </si>
  <si>
    <t>32573000 - Sistema de control de comunicaciones
35710000 - Sistemas de mando, control, comunicación e informáticos
45259000 - Reparación y mantenimiento de instalaciones
72222300 - Servicios de tecnología de la información</t>
  </si>
  <si>
    <t>15/05/2026 · 12:00h</t>
  </si>
  <si>
    <t>Servicio de administración de sistemas de la Xunta de Galicia</t>
  </si>
  <si>
    <t>AMT-2026-0051</t>
  </si>
  <si>
    <t>72250000 - Servicios de sistemas y apoyo</t>
  </si>
  <si>
    <t>AGENCIA PARA LA MODERNIZACIÓN TECNOLÓGICA DE GALICIA (AMTEGA)</t>
  </si>
  <si>
    <t>28/04/2026 · 14:00h</t>
  </si>
  <si>
    <t>Adquisición suministros SDA Galapagar</t>
  </si>
  <si>
    <t>10/2026</t>
  </si>
  <si>
    <t>48300000 - Paquetes de software de creación de documentos, dibujo, tratamiento de imágenes, planificación y productividad
48400000 - Paquetes de software de transacciones comerciales y personales
48500000 - Paquetes de software de comunicación y multimedia
48600000 - Paquetes de software de bases de datos y de funcionamiento
48700000 - Utilidades de paquetes de software
48800000 - Sistemas y servidores de información
48900000 - Paquetes de software y sistemas informáticos diversos</t>
  </si>
  <si>
    <t>AYUNTAMIENTO DE GALAPAGAR</t>
  </si>
  <si>
    <t>25/02/2030 · 14:00h</t>
  </si>
  <si>
    <t xml:space="preserve">
Suministro, instalación y mantenimiento del sistema de control de acceso de vehículos SLM. clave de expediente:2026R320013</t>
  </si>
  <si>
    <t>2026-00108</t>
  </si>
  <si>
    <t>32573000 - Sistema de control de comunicaciones
35710000 - Sistemas de mando, control, comunicación e informáticos
72222300 - Servicios de tecnología de la información</t>
  </si>
  <si>
    <t>29/05/2026 · 12:00h</t>
  </si>
  <si>
    <t>Servicios de mantenimiento integral de máquinas multifunción SHARP en propiedad y apoyo al servicio de reprografía para Canal de Isabel II, S.A., M.P.</t>
  </si>
  <si>
    <t>264-2025</t>
  </si>
  <si>
    <t>50310000 - Mantenimiento y reparación de máquinas de oficina
30120000 - Fotocopiadoras, máquinas offset e impresoras
79820000 - Servicios relacionados con la impresión</t>
  </si>
  <si>
    <t>CANAL DE ISABEL II</t>
  </si>
  <si>
    <t>FOMENTO</t>
  </si>
  <si>
    <t>26/05/2026 · 23:59h</t>
  </si>
  <si>
    <t>Servicio de videovigilancia para gestión de tráfico y seguridad ciudadana del Ayuntamiento de Piélagos.</t>
  </si>
  <si>
    <t>CSER 2025/6815</t>
  </si>
  <si>
    <t>79714000 - Servicios de vigilancia</t>
  </si>
  <si>
    <t>AYUNTAMIENTO DE PIÉLAGOS</t>
  </si>
  <si>
    <t>Plazo de Presentación de Oferta Rectificación PCAP</t>
  </si>
  <si>
    <t>15/05/2026 · 23:59h</t>
  </si>
  <si>
    <t>Acuerdo marco para el arrendamiento y mantenimiento de equipos de impresión a través de la Central de Contratación Foral de Gipuzkoa</t>
  </si>
  <si>
    <t>X26001</t>
  </si>
  <si>
    <t>50310000 - Mantenimiento y reparación de máquinas de oficina</t>
  </si>
  <si>
    <t>DIPUTACIÓN FORAL DE GIPUZKOA</t>
  </si>
  <si>
    <t>14/05/2026 · 16:00h</t>
  </si>
  <si>
    <t>Suministro, instalación, integración, configuración y puesta en marcha de una infraestructura tecnológica avanzada de computación para inteligencia artificial, incluyendo equipamiento hardware, almacenamiento, red, software, formación, consultoría y soporte inicial, destinada a la Cámara de Comercio de Ceuta.</t>
  </si>
  <si>
    <t>CC 01/26</t>
  </si>
  <si>
    <t>48820000 - Servidores</t>
  </si>
  <si>
    <t>Ceuta</t>
  </si>
  <si>
    <t>CAMARA OFICIAL DE COMERCIO INDUSTRIA Y NAVEGACION DE CEUTA</t>
  </si>
  <si>
    <t>26/05/2026 · 14:00h</t>
  </si>
  <si>
    <t>Debido a las preguntas recibidas en la Plataforma, ha sido necesario rehacer aspectos del PCAP. Por tanto, se suspende temporalmente el plazo de presentación de ofertas hasta tener nuevo redactado de los pliegos.</t>
  </si>
  <si>
    <t>Contrato de servicios para la vigilancia y seguridad de diversos edificios adscritos al Área de Gobierno de Políticas Sociales, Familia e Igualdad.</t>
  </si>
  <si>
    <t>300/2026/00018</t>
  </si>
  <si>
    <t>79710000 - Servicios de seguridad
79711000 - Servicios de vigilancia de sistemas de alarma</t>
  </si>
  <si>
    <t>AYUNTAMIENTO DE MADRID</t>
  </si>
  <si>
    <t>11/05/2026 · 23:59h</t>
  </si>
  <si>
    <t>Prestación de servicios bancarios en municipios de la Comunidad Autónoma de La Rioja a través del arrendamiento de cajeros automáticos. Lote 2: Arrendamiento sin opción a compra de dos cajeros automáticos móviles</t>
  </si>
  <si>
    <t>09-7-2.01-0006/2026_lote2</t>
  </si>
  <si>
    <t>30123200 - Cajeros automáticos
30200000 - Equipo y material informático
66110000 - Servicios bancarios
72260000 - Servicios relacionados con el software</t>
  </si>
  <si>
    <t>Rioja, La</t>
  </si>
  <si>
    <t>CONSEJERÍA DE POLÍTICA LOCAL, INFRAESTRUCTURAS Y LUCHA CONTRA LA DESPOBLACIÓN</t>
  </si>
  <si>
    <t>Interior</t>
  </si>
  <si>
    <t>25/05/2026 · 14:00h</t>
  </si>
  <si>
    <t>Suministro, instalación y puesta en funcionamiento de equipamiento informático para el sistema de monitorización discreta y continua de las Áreas de Hospitalización y el mantenimiento integral y soporte del Hospital Universitari i Politècnic La Fe</t>
  </si>
  <si>
    <t>173/2026</t>
  </si>
  <si>
    <t>33195000 - Sistema de monitorización de los pacientes
48800000 - Sistemas y servidores de información
48814000 - Sistemas de información médica
50324100 - Servicios de mantenimiento de sistemas
72250000 - Servicios de sistemas y apoyo.
33195000 - Sistema de monitorización de los pacientes
48800000 - Sistemas y servidores de información
48814000 - Sistemas de información médica
50324100 - Servicios de mantenimiento de sistemas
72250000 - Servicios de sistemas y apoyo</t>
  </si>
  <si>
    <t>DEPARTAMENTO DE SALUD LA FE</t>
  </si>
  <si>
    <t>25/05/2026 · 23:59h</t>
  </si>
  <si>
    <t>Quinto Acuerdo Marco con distintos empresarios para la fijación de condiciones que deben regir los contratos para el suministro de tarjetas sin contacto Barik en sus distintas modalidades.</t>
  </si>
  <si>
    <t>2026/013</t>
  </si>
  <si>
    <t>30162000 - Tarjetas inteligentes</t>
  </si>
  <si>
    <t>CONSORCIO DE TRANSPORTES DE BIZKAIA</t>
  </si>
  <si>
    <t>Suministro, instalación e integración de un sistema de formación digital para el Centro Regional de Formación y Simulación en habilidades clínicas del Servicio Murciano de salud (Centro de SaludLlorca-Sutullena)</t>
  </si>
  <si>
    <t>CS/9900/1101206226/26/PA</t>
  </si>
  <si>
    <t>32321300 - Materiales audiovisuales</t>
  </si>
  <si>
    <t>01/06/2026 · 23:59h</t>
  </si>
  <si>
    <t>Servicios de iluminación, sonido, audiovisuales, infraestructuras y producción de las actividades y/o eventos culturales, deportivos, sociales, económicos y de otra índole, organizadas y coorganizadas por las distintas áreas del cabildo insular de lanzarote, (4 lotes). Lote 1 : Iluminación y sonido</t>
  </si>
  <si>
    <t>6299/2026_lote1</t>
  </si>
  <si>
    <t>71356200 - Servicios de asistencia tÃ©cnica
32342410 - Equipo de sonido</t>
  </si>
  <si>
    <t>Canarias</t>
  </si>
  <si>
    <t>Las Palmas</t>
  </si>
  <si>
    <t>CABILDO INSULAR DE LANZAROTE</t>
  </si>
  <si>
    <t>05/06/2026 · 10:00h</t>
  </si>
  <si>
    <t>Servicios de iluminación, sonido, audiovisuales, infraestructuras y producción de las actividades y/o eventos culturales, deportivos, sociales, económicos y de otra índole, organizadas y coorganizadas por las distintas áreas del cabildo insular de lanzarote, (4 lotes). Lote 2 : Equipamiento audiovisuales</t>
  </si>
  <si>
    <t>6299/2026_lote2</t>
  </si>
  <si>
    <t>32321200 - Equipo audiovisual
32321300 - Materiales audiovisuales</t>
  </si>
  <si>
    <t>Contratación conjunta del servicio de impresión, incluido copiado y digitalización, y de la explotación y gestión de centros de reprografía. el objeto de esta contratación conjunta de la prestación de los servicios de impresión y reprografía, incluidos el copiado y digitalización, en las universidades y entidades participantes, mediante equipos de impresión (en adelante equipos) distribuidos por las diversas dependencias de los diferentes campus, y la modalidad de pago por copia en los términos previstos en este pliego y en el pliego de prescripciones técnicas que rigen la licitación. las entidades participantes (en adelante entidades) son las siguientes: • universidad pompeu fabra • universidad de lleida • universidad rovira y virgili • universidad de vic – universidad central de cataluña</t>
  </si>
  <si>
    <t>E2551</t>
  </si>
  <si>
    <t>79520000 - Servicios de reprografía
79800000 - Servicios de impresión y servicios conexos</t>
  </si>
  <si>
    <t>Equipamiento informático crtve</t>
  </si>
  <si>
    <t>S-01960-2026</t>
  </si>
  <si>
    <t>11/06/2026 · 14:00h</t>
  </si>
  <si>
    <t>5. RECHAZADO</t>
  </si>
  <si>
    <t>Servicio de vigilancia y seguridad de edificios e instalaciones. Lote 1</t>
  </si>
  <si>
    <t>CC 1/2026 SDA_lote1</t>
  </si>
  <si>
    <t>50610000 - Servicios de reparaciÃ³n y mantenimiento de equipos de seguridad</t>
  </si>
  <si>
    <t>Illes Balears</t>
  </si>
  <si>
    <t>Balears, Illes</t>
  </si>
  <si>
    <t>CENTRAL DE CONTRATACIÓN DE LA ADMINISTRACIÓN DE LA COMUNIDAD AUTÓNOMA DE LAS ISLAS BALEARES</t>
  </si>
  <si>
    <t>13/05/2028 · 15:00h</t>
  </si>
  <si>
    <t>Servicio de vigilancia y seguridad de edificios e instalaciones. Lote 3</t>
  </si>
  <si>
    <t>CC 1/2026 SDA_lote3</t>
  </si>
  <si>
    <t>Servicio de vigilancia y seguridad de edificios e instalaciones. Lote 2</t>
  </si>
  <si>
    <t>CC 1/2026 SDA_lote2</t>
  </si>
  <si>
    <t>Obras de instalación de equipos de instrumentación y automatización estandarizada en ubicaciones dispersas de canal de isabel ii, s.a., m.p. Lote 1</t>
  </si>
  <si>
    <t>17-2025_lote1</t>
  </si>
  <si>
    <t>45315100 - Trabajos de instalación de ingeniería eléctrica
45317100 - Trabajos de instalación eléctrica de equipos de bombeo
48150000 - Paquetes de software de control industrial
45310000 - Trabajos de instalación eléctrica
38810000 - Equipo de control de procesos industriales
32400000 - Redes
31682210 - Equipo de instrumentación y control
48921000 - Sistema de automatización</t>
  </si>
  <si>
    <t>08/06/2026 · 23:59h</t>
  </si>
  <si>
    <t>Obras de instalación de equipos de instrumentación y automatización estandarizada en ubicaciones dispersas de canal de isabel ii, s.a., m.p. Lote 2</t>
  </si>
  <si>
    <t>17-2025_lote2</t>
  </si>
  <si>
    <t>45315100 - Trabajos de instalación de ingeniería eléctrica
45310000 - Trabajos de instalación eléctrica
45317100 - Trabajos de instalación eléctrica de equipos de bombeo
48921000 - Sistema de automatización
48150000 - Paquetes de software de control industrial
38810000 - Equipo de control de procesos industriales
32400000 - Redes
31682210 - Equipo de instrumentación y control</t>
  </si>
  <si>
    <t>Servicio de explotación de equipamiento y producción de televisión para retransmisiones, programas y otros servicios relacionados con la corporació de la comunitat valenciana</t>
  </si>
  <si>
    <t>CNMY26/CACVSA/06</t>
  </si>
  <si>
    <t>92221000 - Servicios de producción de televisión</t>
  </si>
  <si>
    <t>CORPORACIÓN AUDIOVISUAL DE LA COMUNIDAD VALENCIANA</t>
  </si>
  <si>
    <t>10/06/2026 · 23:59h</t>
  </si>
  <si>
    <t>Suministro, instalación y mantenimiento de canceladoras para el control de accesos en estaciones de renfe viajeros. Lote 1 : Núcleo de Cercanías Cantabria</t>
  </si>
  <si>
    <t>2025-03865_lote1</t>
  </si>
  <si>
    <t>42961100 - Sistema de control de acceso</t>
  </si>
  <si>
    <t>DIRECCIÓN GENERAL DE RENFE VIAJEROS SOCIEDAD MERCANTIL ESTATAL</t>
  </si>
  <si>
    <t>26/06/2026 · 12:00h</t>
  </si>
  <si>
    <t>Suministro, instalación y mantenimiento de canceladoras para el control de accesos en estaciones de renfe viajeros. Lote 2 : Núcleo de Cercanías de Sevilla, Málaga, Cádiz y Córdoba</t>
  </si>
  <si>
    <t>2025-03865_lote2</t>
  </si>
  <si>
    <t>Suministro, instalación y mantenimiento de canceladoras para el control de accesos en estaciones de renfe viajeros. Lote 3 : Núcleo de Cercanías de Madrid</t>
  </si>
  <si>
    <t>2025-03865_lote3</t>
  </si>
  <si>
    <t>Suministro, instalación y mantenimiento de canceladoras para el control de accesos en estaciones de renfe viajeros. Lote 5 : Núcleo de Cercanías de Valencia</t>
  </si>
  <si>
    <t>2025-03865_lote5</t>
  </si>
  <si>
    <t>Suministro de energía eléctrica a las instalaciones de la ciudad autónoma de melilla</t>
  </si>
  <si>
    <t>35/2026/CMA</t>
  </si>
  <si>
    <t>31154000 - Suministros ininterrumpidos de energía
09310000 - Electricidad</t>
  </si>
  <si>
    <t>Melilla</t>
  </si>
  <si>
    <t>CIUDAD AUTÓNOMA DE MELILLA</t>
  </si>
  <si>
    <t>12/06/2026 · 15:00h</t>
  </si>
  <si>
    <t>Mantenimiento de los equipos del sistema de peaje de euskotren</t>
  </si>
  <si>
    <t>P10035797</t>
  </si>
  <si>
    <t>50316000 - Mantenimiento y reparación de máquinas expendedoras de billetes</t>
  </si>
  <si>
    <t>EUSKO TRENBIDEAK FERROCARRILES VASCOS, S.A.</t>
  </si>
  <si>
    <t>15/06/2026 · 12:00h</t>
  </si>
  <si>
    <t>Renovación de la infraestructura tecnológica de tussam.</t>
  </si>
  <si>
    <t>T26018801</t>
  </si>
  <si>
    <t>30200000 - Equipo y material informático
30211300 - Plataformas informáticas
48000000 - Paquetes de software y sistemas de información</t>
  </si>
  <si>
    <t>Sevilla</t>
  </si>
  <si>
    <t>TRANSPORTES URBANOS DE SEVILLA</t>
  </si>
  <si>
    <t>15/06/2026 · 14:00h</t>
  </si>
  <si>
    <t>Suministro y mantenimiento, en régimen de alquiler, de equipos de impresión, copia y escaneo para el departamento de seguridad</t>
  </si>
  <si>
    <t>S0022/2026</t>
  </si>
  <si>
    <t>30120000 - Fotocopiadoras, máquinas offset e impresoras</t>
  </si>
  <si>
    <t>DEPARTAMENTO DE SEGURIDAD DEL GOBIERNO VASCO</t>
  </si>
  <si>
    <t>23/06/2026 · 09:00h</t>
  </si>
  <si>
    <t>El objeto de esta concurrencia es la contratación por parte de la corporació catalana de mitjans audiovisuals, s. a. (en adelante ccma, s. a.) del arrendamiento sin opción de compra, de dispositivos multifuncionales para escanear, copiar e imprimir para diversas ubicaciones. el suministro de los dispositivos incluirá la instalación y prueba de los equipamientos y de los servicios asociados</t>
  </si>
  <si>
    <t>2605OB02</t>
  </si>
  <si>
    <t>30236000 - Equipo informático diverso
30216110 - Escáneres para uso informático
30200000 - Equipo y material informático
79520000 - Servicios de reprografía</t>
  </si>
  <si>
    <t>CORPORACIÓ CATALANA DE MITJANS AUDIOVISUALS</t>
  </si>
  <si>
    <t>18/06/2026 · 13:00h</t>
  </si>
  <si>
    <t>Servicios de administración de sistemas</t>
  </si>
  <si>
    <t>CF050-25-048</t>
  </si>
  <si>
    <t>72222300 - Servicios de tecnología de la información
72600000 - Servicios de apoyo informático y de consultoría</t>
  </si>
  <si>
    <t>VERIFICACIONES INDUSTRIALES DE ANDALUCÍA (VEIASA), S.A.</t>
  </si>
  <si>
    <t>03/06/2026 · 17:00h</t>
  </si>
  <si>
    <t>Servicio de vigilancia, seguridad y mantenimiento de sistemas de seguridad en la universidad de salamanca</t>
  </si>
  <si>
    <t>SESU06-26</t>
  </si>
  <si>
    <t>79700000 - Servicios de investigación y seguridad
50610000 - Servicios de reparación y mantenimiento de equipos de seguridad</t>
  </si>
  <si>
    <t>Salamanca</t>
  </si>
  <si>
    <t>UNIVERSIDAD DE SALAMANCA</t>
  </si>
  <si>
    <t>19/06/2026 · 14:00h</t>
  </si>
  <si>
    <t>Suministro de equipamiento de la plataforma de balanceo de tráfico de datos</t>
  </si>
  <si>
    <t>2026-00154</t>
  </si>
  <si>
    <t>32420000 - Equipo de red
48218000 - Paquetes de software de gestión de licencias
50312000 - Mantenimiento y reparación de equipo informático
72267000 - Servicios de mantenimiento y reparación de software</t>
  </si>
  <si>
    <t>DIRECCIÓN GENERAL ECONÓMICO - FINANCIERO DE LA ENTIDAD PÚBLICA EMPRESARIAL RENFE - OPERADORA</t>
  </si>
  <si>
    <t>02/06/2026 · 15:00h</t>
  </si>
  <si>
    <t>Seguridad y vigilancia de los puertos de bizkaia: ondarroa, lekeitio, elantxobe, bermeo y mundaka</t>
  </si>
  <si>
    <t>DADRAP/014SV/2026</t>
  </si>
  <si>
    <t>DEPARTAMENTO DE ALIMENTACIÓN, DESARROLLO RURAL, AGRICULTURA Y PESCA DEL PAIS VASCO</t>
  </si>
  <si>
    <t>24/06/2026 · 10:00h</t>
  </si>
  <si>
    <t>Suministro e instalación, equipamiento y mobiliario de 5 centros dependientes de la conselleria de servicios sociales, familia e infancia.. Lote 2 : LOTE 2. Residencia para Personas Mayores Dependientes y Centro de Día en Castelló de la Plana, Castellón</t>
  </si>
  <si>
    <t>CMAYOR/2025/08Y09/0112_lote2</t>
  </si>
  <si>
    <t>32320000 - Equipo audiovisual y de televisión</t>
  </si>
  <si>
    <t>CONSELLERIA DE SERVICIOS SOCIALES, FAMILIA E INFANCIA</t>
  </si>
  <si>
    <t>22/06/2026 · 15:00h</t>
  </si>
  <si>
    <t>Prg-2026-0022: servicio de vigilancia integral y control de accesos en las instalaciones portuarias dependientes de la entidad pública empresarial portos de galicia sujetas a la aplicación del código internacional para la protección de los buques y de las instalaciones portuarias (código pbip)-2026</t>
  </si>
  <si>
    <t>PcPG/2026/828125</t>
  </si>
  <si>
    <t>79710000 - Servicios de seguridad
50610000 - Servicios de reparación y mantenimiento de equipos de seguridad
50332000 - Servicios de mantenimiento de infraestructura de telecomunicaciones
50331000 - Servicios de reparación y mantenimiento de líneas de telecomunicación
79714000 - Servicios de vigilancia
42961100 - Sistema de control de acceso
35125300 - Cámaras de seguridad
35125000 - Sistema de vigilancia
50330000 - Servicios de mantenimiento de equipo de telecomunicación</t>
  </si>
  <si>
    <t>ENTIDAD PÚBLICA PUERTOS DE GALICIA</t>
  </si>
  <si>
    <t>25/06/2026 · 23:59h</t>
  </si>
  <si>
    <t>Consultoría y asistencia técnica para el control y vigilancia de las obras de construcción de la subestación eléctrica de tracción, centros de autotransformación asociados y telemando de energía del tramo ronda - algeciras de la línea bobadilla – algeciras</t>
  </si>
  <si>
    <t>3.26/06110.0053</t>
  </si>
  <si>
    <t>71356000 - Servicios técnicos</t>
  </si>
  <si>
    <t>ADMINISTRADOR DE INFRAESTRUCTURAS FERROVIARIAS (ADIF)</t>
  </si>
  <si>
    <t>12/06/2026 · 13:00h</t>
  </si>
  <si>
    <t>Obras del proyecto de urbanización de la prolongación de la calle mártires de sobredo y adyacente. actualización del proyecto del polígono ii incluido en el proyecto de urbanización del polígono i y polígono ii del peri de la ue-2 del ayuntamiento de salceda de caselas.</t>
  </si>
  <si>
    <t>PcPG/2026/828168</t>
  </si>
  <si>
    <t>45236230 - Trabajos de explanación de jardines
45314320 - Instalación de cableado informático
45316100 - Instalación de equipo de alumbrado exterior</t>
  </si>
  <si>
    <t>Pontevedra</t>
  </si>
  <si>
    <t>AYUNTAMIENTO DE SALCEDA DE CASELAS</t>
  </si>
  <si>
    <t>15/06/2026 · 23:59h</t>
  </si>
  <si>
    <t>Sum,mto. de impresión térmica adhesiva.</t>
  </si>
  <si>
    <t>AI260013</t>
  </si>
  <si>
    <t>72500000 - Servicios informáticos</t>
  </si>
  <si>
    <t>SOCIEDAD ESTATAL DE CORREOS Y TELÉGRAFOS</t>
  </si>
  <si>
    <t>29/06/2026 · 10:00h</t>
  </si>
  <si>
    <t>Plataforma integrada de información geoespacial de andalucía (piiga)</t>
  </si>
  <si>
    <t>CONTR 2026 0000082293</t>
  </si>
  <si>
    <t>48800000 - Sistemas y servidores de información</t>
  </si>
  <si>
    <t>INSTITUTO DE ESTADÍSTICA Y CARTOGRAFÍA DE ANDALUCÍA</t>
  </si>
  <si>
    <t>03/07/2026 · 14:00h</t>
  </si>
  <si>
    <t>Servicios de soporte funcional de las aplicaciones y gestión del puesto de usuario, servicios de administración de sistemas, comunicaciones, aseguramiento de la calidad y devsecops y seguridad de la oficina española de patentes y marcas, o.a.. Lote 2 : Comprende la instalación, administración, mantenimiento y actualización de los sistemas que componen las infraestructuras tecnológicas de la OEPM en cualquiera de sus centros de proceso de datos. Incluye la administración de sistemas Linux, Windows y sistemas virtualizados, sistemas de contenedores, así como los servicios de administración de bases de datos, el correo electrónico, la red de Microsoft y sus herramientas de trabajo colaborativo, los sistemas de almacenamiento y Backup, los servicios de administración de los servidores web, de</t>
  </si>
  <si>
    <t>15/26_lote2</t>
  </si>
  <si>
    <t>72500000 - Servicios informáticos
79417000 - Servicios de consultoría en seguridad</t>
  </si>
  <si>
    <t>OFICINA ESPAÑOLA DE PATENTES Y MARCAS</t>
  </si>
  <si>
    <t>29/06/2026 · 14:00h</t>
  </si>
  <si>
    <t>INETUM</t>
  </si>
  <si>
    <t>PENDIENTE</t>
  </si>
  <si>
    <t>HIBERUS</t>
  </si>
  <si>
    <t>INFOREIN (GRUPO SOLITIUM)</t>
  </si>
  <si>
    <t xml:space="preserve">PENDIENTE </t>
  </si>
  <si>
    <t>Contrato mixto de suministros y servicios consistente en suministro de sistema de videovigilancia y el servicio de mantenimiento del sistema en el término municipal de gandia.</t>
  </si>
  <si>
    <t>CONT-059/2025 (34741/2025)</t>
  </si>
  <si>
    <t>32000000 - Equipos de radio, televisión, comunicaciones y telecomunicaciones y equipos conexos
32235000 - Sistema de vigilancia en circuito cerrado
35120000 - Sistemas y dispositivos de vigilancia y seguridad</t>
  </si>
  <si>
    <t>AYUNTAMIENTO DE GANDIA</t>
  </si>
  <si>
    <t>Ttc7125csv0. mixto mantenmto billetaje ii tren tranvía de la bahía de cádiz</t>
  </si>
  <si>
    <t>CONTR 2026 0000074133</t>
  </si>
  <si>
    <t>42961100 - Sistema de control de acceso
30144200 - Máquinas expendedoras de billetes
30123100 - Máquinas para validación de billetes
50316000 - Mantenimiento y reparación de máquinas expendedoras de billetes</t>
  </si>
  <si>
    <t>Cádiz</t>
  </si>
  <si>
    <t>AGENCIA DE OBRA PÚBLICA DE LA JUNTA DE ANDALUCIA</t>
  </si>
  <si>
    <t>Negociado sin Publicidad</t>
  </si>
  <si>
    <t>Mercado Vertical</t>
  </si>
  <si>
    <t>Tipo de Procedimiento</t>
  </si>
  <si>
    <t>OWNER</t>
  </si>
  <si>
    <t>COTIZACIÓN A PROVEEDOR</t>
  </si>
  <si>
    <t>TOP ADJUDICATARIOS</t>
  </si>
  <si>
    <t>AGE</t>
  </si>
  <si>
    <t>En plazo de presentación</t>
  </si>
  <si>
    <t xml:space="preserve"> 5G</t>
  </si>
  <si>
    <t>1. PENDIENTE SOLICITUD DE COTIZACIÓN A PROVEEDOR</t>
  </si>
  <si>
    <t>ACUNTIA</t>
  </si>
  <si>
    <t>Autónomo</t>
  </si>
  <si>
    <t>Aragón</t>
  </si>
  <si>
    <t>DEFENSA</t>
  </si>
  <si>
    <t>Expiran en menos de 7 días</t>
  </si>
  <si>
    <t xml:space="preserve"> OTROS </t>
  </si>
  <si>
    <t>Gabriella</t>
  </si>
  <si>
    <t>NO</t>
  </si>
  <si>
    <t>PLEXUS (GRUPO ALANDA)</t>
  </si>
  <si>
    <t>Local</t>
  </si>
  <si>
    <t>Contrato Menor</t>
  </si>
  <si>
    <t>Expiran en mesos de 15 días</t>
  </si>
  <si>
    <t xml:space="preserve"> SERVICIOS </t>
  </si>
  <si>
    <t>3. PENDIENTE ENVÍO DE COTIZACIÓN A CLIENTE</t>
  </si>
  <si>
    <t>SEMIC (GRUPO ALANDA)</t>
  </si>
  <si>
    <t>Otras entidades</t>
  </si>
  <si>
    <t>Diálogo Competitivo</t>
  </si>
  <si>
    <t>Expiran en menos de 30 dias</t>
  </si>
  <si>
    <t xml:space="preserve"> SOFTWARE </t>
  </si>
  <si>
    <t xml:space="preserve"> APLICACIONES ESPECíFICAS</t>
  </si>
  <si>
    <t>4. COTIZACIÓN ENVIADA A CLIENTE - X4A</t>
  </si>
  <si>
    <t>Cristina</t>
  </si>
  <si>
    <t>ATOS</t>
  </si>
  <si>
    <t>Provincial</t>
  </si>
  <si>
    <t>Negociado con Publicidad</t>
  </si>
  <si>
    <t>WINCHENNEL</t>
  </si>
  <si>
    <t>ECONOCOM</t>
  </si>
  <si>
    <t>Red.Es</t>
  </si>
  <si>
    <t>» HARDWARE » AUDIOVISUALES » REALIDAD VIRTUAL Y AUMENTADA (VR/AR)</t>
  </si>
  <si>
    <t xml:space="preserve"> FORMACIóN </t>
  </si>
  <si>
    <t>EVOLUTIO</t>
  </si>
  <si>
    <t>Universidad</t>
  </si>
  <si>
    <t>Castilla - La Mancha</t>
  </si>
  <si>
    <t>Negociado por exclusividad</t>
  </si>
  <si>
    <t xml:space="preserve"> AUTOMATIZACIóN DE PROCESOS (RPA)</t>
  </si>
  <si>
    <t>STAFFGLOBAL</t>
  </si>
  <si>
    <t>GMV</t>
  </si>
  <si>
    <t>Normas internas</t>
  </si>
  <si>
    <t xml:space="preserve"> BACKUP SOFTWARE</t>
  </si>
  <si>
    <t>Restringido</t>
  </si>
  <si>
    <t>IAAS365</t>
  </si>
  <si>
    <t>INTERIOR</t>
  </si>
  <si>
    <t>» HARDWARE » BACKUP HARDWARE » LIBRERIAS DE CINTAS</t>
  </si>
  <si>
    <t xml:space="preserve"> BBDD</t>
  </si>
  <si>
    <t>AYESA (GRUPO IBERMÁTICA)</t>
  </si>
  <si>
    <t xml:space="preserve"> BI (BUSINESS INTELLIGENCE)</t>
  </si>
  <si>
    <t>IDIOMUND</t>
  </si>
  <si>
    <t>Extremadura</t>
  </si>
  <si>
    <t xml:space="preserve"> RADIOCOMUNICACIONES </t>
  </si>
  <si>
    <t xml:space="preserve"> BLOCKCHAIN</t>
  </si>
  <si>
    <t>INDRA</t>
  </si>
  <si>
    <t xml:space="preserve"> BPM</t>
  </si>
  <si>
    <t>VARIOS</t>
  </si>
  <si>
    <t>NTT</t>
  </si>
  <si>
    <t xml:space="preserve"> SERVICIOS DE TELECOMUNICACIONES </t>
  </si>
  <si>
    <t>ORANGE</t>
  </si>
  <si>
    <t xml:space="preserve"> CIBERSEGURIDAD</t>
  </si>
  <si>
    <t xml:space="preserve">Navarra, Comunidad Floral de </t>
  </si>
  <si>
    <t>» HARDWARE » INFRAESTRUCTURA CPD » SISTEMAS DE CLIMATIZACIóN</t>
  </si>
  <si>
    <t xml:space="preserve"> SISTEMAS AUTóNOMOS </t>
  </si>
  <si>
    <t>SEIDOR</t>
  </si>
  <si>
    <t xml:space="preserve"> SMART CITIES </t>
  </si>
  <si>
    <t xml:space="preserve"> SOFTWARE DE GESTIóN </t>
  </si>
  <si>
    <t xml:space="preserve"> SOFTWARE DE INFRAESTRUCTURA </t>
  </si>
  <si>
    <t xml:space="preserve"> CRM</t>
  </si>
  <si>
    <t>TAISA</t>
  </si>
  <si>
    <t xml:space="preserve"> SOFTWARE DE INTELIGENCIA ARTIFICIAL </t>
  </si>
  <si>
    <t xml:space="preserve"> DESARROLLO DE SOFTWARE</t>
  </si>
  <si>
    <t>TELEFÓNICA</t>
  </si>
  <si>
    <t xml:space="preserve"> SOFTWARE DE SEGURIDAD </t>
  </si>
  <si>
    <t xml:space="preserve"> DESARROLLO WEB/APP</t>
  </si>
  <si>
    <t>T-SYSTEMS</t>
  </si>
  <si>
    <t xml:space="preserve"> SOFTWARE ESPECíFICO </t>
  </si>
  <si>
    <t>VODAFONE</t>
  </si>
  <si>
    <t xml:space="preserve"> EADMINISTRACIóN</t>
  </si>
  <si>
    <t xml:space="preserve"> ELEARNING</t>
  </si>
  <si>
    <t>» HARDWARE » RADIOCOMUNICACIONES » SISTEMA RFID</t>
  </si>
  <si>
    <t xml:space="preserve"> ELECTROMEDICINA</t>
  </si>
  <si>
    <t>» HARDWARE » SEGURIDAD »  SEGURIDAD PERIMETRAL</t>
  </si>
  <si>
    <t xml:space="preserve"> ERP</t>
  </si>
  <si>
    <t xml:space="preserve"> FIRMA ELECTRóNICA</t>
  </si>
  <si>
    <t xml:space="preserve"> FORMACIóN</t>
  </si>
  <si>
    <t xml:space="preserve"> GESTIóN DE IDENTIDADES (LDAP,…)</t>
  </si>
  <si>
    <t>» HARDWARE » SISTEMAS AUTóNOMOS » AUTOMATIZACIóN DE PROCESOS (RPA)</t>
  </si>
  <si>
    <t xml:space="preserve"> GESTIóN DOCUMENTAL/PROYECTOS DE DIGITALIZACIóN</t>
  </si>
  <si>
    <t>» HARDWARE » SISTEMAS AUTóNOMOS » ROBóTICA</t>
  </si>
  <si>
    <t xml:space="preserve"> GUERRA ELECTRóNICA</t>
  </si>
  <si>
    <t>» HARDWARE » TELECOMUNICACIONES » 5G</t>
  </si>
  <si>
    <t xml:space="preserve"> HOSTING SISTEMAS</t>
  </si>
  <si>
    <t>» HARDWARE » TELECOMUNICACIONES » REDES DE TELECOMUNICACIONES (HARDWARE)</t>
  </si>
  <si>
    <t xml:space="preserve"> IMPRESIóN/PAGO POR USO</t>
  </si>
  <si>
    <t>» HARDWARE » TELECOMUNICACIONES » TELEFONíA IP</t>
  </si>
  <si>
    <t>» OTROS » OTROS » ELECTROMEDICINA</t>
  </si>
  <si>
    <t xml:space="preserve"> INTELIGENCIA ARTIFICIAL (IA)</t>
  </si>
  <si>
    <t>» OTROS » OTROS » GUERRA ELECTRóNICA</t>
  </si>
  <si>
    <t>» OTROS » OTROS » OTROS</t>
  </si>
  <si>
    <t xml:space="preserve"> INTERNET/DATOS</t>
  </si>
  <si>
    <t>» OTROS » OTROS » SOLAR</t>
  </si>
  <si>
    <t xml:space="preserve"> ITSM</t>
  </si>
  <si>
    <t xml:space="preserve"> LIBRERIAS DE CINTAS</t>
  </si>
  <si>
    <t xml:space="preserve"> MANTENIMIENTO APLICACIONES/SOFTWARE</t>
  </si>
  <si>
    <t>» SERVICIOS » FORMACIóN » FORMACIóN</t>
  </si>
  <si>
    <t xml:space="preserve"> MARKETING AUTOMATION</t>
  </si>
  <si>
    <t>» SERVICIOS » MANTENIMIENTO » MANTENIMIENTO APLICACIONES/SOFTWARE</t>
  </si>
  <si>
    <t xml:space="preserve"> OTROS</t>
  </si>
  <si>
    <t>» SERVICIOS » OUTSOURCING IT » DESARROLLO DE SOFTWARE</t>
  </si>
  <si>
    <t xml:space="preserve"> OTROS SERVICIOS DE TELECOMUNICACIONES</t>
  </si>
  <si>
    <t>» SERVICIOS » OUTSOURCING IT » DESARROLLO WEB/APP</t>
  </si>
  <si>
    <t xml:space="preserve"> OTROS SOFTWARE</t>
  </si>
  <si>
    <t>» SERVICIOS » OUTSOURCING IT » HOSTING SISTEMAS</t>
  </si>
  <si>
    <t xml:space="preserve"> OTROS SOFTWARE DE GESTIóN</t>
  </si>
  <si>
    <t>» SERVICIOS » OUTSOURCING IT » IMPRESIóN/PAGO POR USO</t>
  </si>
  <si>
    <t xml:space="preserve"> OTROS SOFTWARE DE INFRAESTRUCTURA</t>
  </si>
  <si>
    <t xml:space="preserve"> OTROS SOFTWARE DE SEGURIDAD</t>
  </si>
  <si>
    <t>» SERVICIOS » OUTSOURCING IT » REDES SOCIALES</t>
  </si>
  <si>
    <t xml:space="preserve"> PORTALES WEB</t>
  </si>
  <si>
    <t>» SERVICIOS » OUTSOURCING IT » WEB HOSTING</t>
  </si>
  <si>
    <t xml:space="preserve"> REALIDAD VIRTUAL Y AUMENTADA (VR/AR)</t>
  </si>
  <si>
    <t xml:space="preserve"> REDES DE TELECOMUNICACIONES (HARDWARE)</t>
  </si>
  <si>
    <t xml:space="preserve"> REDES SOCIALES</t>
  </si>
  <si>
    <t>» SERVICIOS » SERVICIOS DE TELECOMUNICACIONES » INTERNET/DATOS</t>
  </si>
  <si>
    <t xml:space="preserve"> ROBóTICA</t>
  </si>
  <si>
    <t>» SERVICIOS » SERVICIOS DE TELECOMUNICACIONES » OTROS SERVICIOS DE TELECOMUNICACIONES</t>
  </si>
  <si>
    <t>» SERVICIOS » SERVICIOS DE TELECOMUNICACIONES » STREAMING</t>
  </si>
  <si>
    <t>» SERVICIOS » SERVICIOS DE TELECOMUNICACIONES » TELECOMUNICACIONES FIJAS</t>
  </si>
  <si>
    <t xml:space="preserve"> SEGURIDAD ENDPOINT (ANTIVIRUS)</t>
  </si>
  <si>
    <t>» SERVICIOS » SERVICIOS DE TELECOMUNICACIONES » TELECOMUNICACIONES MóVILES</t>
  </si>
  <si>
    <t>» SERVICIOS » SMART CITIES » SMART CITIES</t>
  </si>
  <si>
    <t>» SOFTWARE » SOFTWARE DE GESTIóN » BI (BUSINESS INTELLIGENCE)</t>
  </si>
  <si>
    <t>» SOFTWARE » SOFTWARE DE GESTIóN » BPM</t>
  </si>
  <si>
    <t>» SOFTWARE » SOFTWARE DE GESTIóN » CRM</t>
  </si>
  <si>
    <t>» SOFTWARE » SOFTWARE DE GESTIóN » EADMINISTRACIóN</t>
  </si>
  <si>
    <t>» SOFTWARE » SOFTWARE DE GESTIóN » ELEARNING</t>
  </si>
  <si>
    <t>» SOFTWARE » SOFTWARE DE GESTIóN » ERP</t>
  </si>
  <si>
    <t xml:space="preserve"> SISTEMA OPERATIVO CLIENTE</t>
  </si>
  <si>
    <t>» SOFTWARE » SOFTWARE DE GESTIóN » GESTIóN DOCUMENTAL/PROYECTOS DE DIGITALIZACIóN</t>
  </si>
  <si>
    <t xml:space="preserve"> SISTEMA OPERATIVO SERVIDOR</t>
  </si>
  <si>
    <t>» SOFTWARE » SOFTWARE DE GESTIóN » ITSM</t>
  </si>
  <si>
    <t xml:space="preserve"> SISTEMA RFID</t>
  </si>
  <si>
    <t>» SOFTWARE » SOFTWARE DE GESTIóN » MARKETING AUTOMATION</t>
  </si>
  <si>
    <t>» SOFTWARE » SOFTWARE DE GESTIóN » OTROS SOFTWARE DE GESTIóN</t>
  </si>
  <si>
    <t xml:space="preserve"> SISTEMAS DE CLIMATIZACIóN</t>
  </si>
  <si>
    <t>» SOFTWARE » SOFTWARE DE GESTIóN » TRAZABILIDAD/RFID/CAPTURA DE DATOS</t>
  </si>
  <si>
    <t>» SOFTWARE » SOFTWARE DE INFRAESTRUCTURA » BACKUP SOFTWARE</t>
  </si>
  <si>
    <t xml:space="preserve"> SMART CITIES</t>
  </si>
  <si>
    <t>» SOFTWARE » SOFTWARE DE INFRAESTRUCTURA » BBDD</t>
  </si>
  <si>
    <t xml:space="preserve"> SOLAR</t>
  </si>
  <si>
    <t>» SOFTWARE » SOFTWARE DE INFRAESTRUCTURA » FIRMA ELECTRóNICA</t>
  </si>
  <si>
    <t>» SOFTWARE » SOFTWARE DE INFRAESTRUCTURA » OTROS SOFTWARE DE INFRAESTRUCTURA</t>
  </si>
  <si>
    <t xml:space="preserve"> STREAMING</t>
  </si>
  <si>
    <t>» SOFTWARE » SOFTWARE DE INFRAESTRUCTURA » PORTALES WEB</t>
  </si>
  <si>
    <t xml:space="preserve"> SUITES OFIMáTICA</t>
  </si>
  <si>
    <t>» SOFTWARE » SOFTWARE DE INFRAESTRUCTURA » SISTEMA OPERATIVO CLIENTE</t>
  </si>
  <si>
    <t>» SOFTWARE » SOFTWARE DE INFRAESTRUCTURA » SISTEMA OPERATIVO SERVIDOR</t>
  </si>
  <si>
    <t>» SOFTWARE » SOFTWARE DE INFRAESTRUCTURA » SUITES OFIMáTICA</t>
  </si>
  <si>
    <t xml:space="preserve"> TELECOMUNICACIONES FIJAS</t>
  </si>
  <si>
    <t>» SOFTWARE » SOFTWARE DE INFRAESTRUCTURA » VIRTUALIZACIóN</t>
  </si>
  <si>
    <t xml:space="preserve"> TELECOMUNICACIONES MóVILES</t>
  </si>
  <si>
    <t>» SOFTWARE » SOFTWARE DE INTELIGENCIA ARTIFICIAL » INTELIGENCIA ARTIFICIAL (IA)</t>
  </si>
  <si>
    <t xml:space="preserve"> TELEFONíA IP</t>
  </si>
  <si>
    <t>» SOFTWARE » SOFTWARE DE SEGURIDAD » BLOCKCHAIN</t>
  </si>
  <si>
    <t>» SOFTWARE » SOFTWARE DE SEGURIDAD » CIBERSEGURIDAD</t>
  </si>
  <si>
    <t xml:space="preserve"> TRAZABILIDAD/RFID/CAPTURA DE DATOS</t>
  </si>
  <si>
    <t>» SOFTWARE » SOFTWARE DE SEGURIDAD » GESTIóN DE IDENTIDADES (LDAP,…)</t>
  </si>
  <si>
    <t>» SOFTWARE » SOFTWARE DE SEGURIDAD » OTROS SOFTWARE DE SEGURIDAD</t>
  </si>
  <si>
    <t xml:space="preserve"> VIRTUALIZACIóN</t>
  </si>
  <si>
    <t>» SOFTWARE » SOFTWARE DE SEGURIDAD » SEGURIDAD ENDPOINT (ANTIVIRUS)</t>
  </si>
  <si>
    <t xml:space="preserve"> WEB HOSTING</t>
  </si>
  <si>
    <t>» SOFTWARE » SOFTWARE ESPECíFICO » APLICACIONES ESPECíFICAS</t>
  </si>
  <si>
    <t>» SOFTWARE » SOFTWARE ESPECíFICO » OTROS SOFTWARE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</si>
</sst>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0\ &quot;€&quot;;[Red]\-#,##0\ &quot;€&quot;"/>
    <numFmt numFmtId="8" formatCode="#,##0.00\ &quot;€&quot;;[Red]\-#,##0.00\ &quot;€&quot;"/>
    <numFmt numFmtId="43" formatCode="_-* #,##0.00_-;\-* #,##0.00_-;_-* &quot;-&quot;??_-;_-@_-"/>
  </numFmts>
  <fonts count="15" x14ac:knownFonts="1">
    <font>
      <sz val="11"/>
      <color theme="1"/>
      <name val="Aptos Narrow"/>
      <family val="2"/>
      <scheme val="minor"/>
    </font>
    <font>
      <sz val="11"/>
      <color rgb="FFFF0000"/>
      <name val="Aptos Narrow"/>
      <family val="2"/>
      <scheme val="minor"/>
    </font>
    <font>
      <b/>
      <sz val="11"/>
      <color theme="1"/>
      <name val="Aptos Narrow"/>
      <family val="2"/>
      <scheme val="minor"/>
    </font>
    <font>
      <sz val="11"/>
      <color rgb="FF000000"/>
      <name val="Aptos Narrow"/>
      <family val="2"/>
      <scheme val="minor"/>
    </font>
    <font>
      <sz val="11"/>
      <name val="Aptos Narrow"/>
      <family val="2"/>
      <scheme val="minor"/>
    </font>
    <font>
      <b/>
      <sz val="11"/>
      <name val="Calibri"/>
      <family val="2"/>
    </font>
    <font>
      <b/>
      <sz val="11"/>
      <color theme="1"/>
      <name val="Calibri"/>
      <family val="2"/>
    </font>
    <font>
      <sz val="11"/>
      <color theme="1"/>
      <name val="Calibri"/>
      <family val="2"/>
    </font>
    <font>
      <sz val="11"/>
      <name val="Calibri"/>
      <family val="2"/>
    </font>
    <font>
      <b/>
      <sz val="14"/>
      <color theme="1"/>
      <name val="Aptos Narrow"/>
      <family val="2"/>
      <scheme val="minor"/>
    </font>
    <font>
      <sz val="11"/>
      <color theme="1"/>
      <name val="Aptos Narrow"/>
      <family val="2"/>
      <scheme val="minor"/>
    </font>
    <font>
      <sz val="9"/>
      <color indexed="81"/>
      <name val="Tahoma"/>
      <family val="2"/>
    </font>
    <font>
      <b/>
      <sz val="9"/>
      <color indexed="81"/>
      <name val="Tahoma"/>
      <family val="2"/>
    </font>
    <font>
      <b/>
      <sz val="11"/>
      <color rgb="FFFF0000"/>
      <name val="Aptos Narrow"/>
      <family val="2"/>
      <scheme val="minor"/>
    </font>
    <font>
      <sz val="11"/>
      <color rgb="FF333333"/>
      <name val="Arial"/>
      <family val="2"/>
    </font>
  </fonts>
  <fills count="14">
    <fill>
      <patternFill patternType="none"/>
    </fill>
    <fill>
      <patternFill patternType="gray125"/>
    </fill>
    <fill>
      <patternFill patternType="solid">
        <fgColor rgb="FFFFC000"/>
        <bgColor indexed="64"/>
      </patternFill>
    </fill>
    <fill>
      <patternFill patternType="solid">
        <fgColor theme="4" tint="0.79998168889431442"/>
        <bgColor theme="4" tint="0.79998168889431442"/>
      </patternFill>
    </fill>
    <fill>
      <patternFill patternType="solid">
        <fgColor theme="2" tint="-0.249977111117893"/>
        <bgColor indexed="64"/>
      </patternFill>
    </fill>
    <fill>
      <patternFill patternType="solid">
        <fgColor theme="9" tint="0.59999389629810485"/>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4" tint="0.39997558519241921"/>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rgb="FF92D050"/>
        <bgColor theme="4" tint="0.79998168889431442"/>
      </patternFill>
    </fill>
    <fill>
      <patternFill patternType="solid">
        <fgColor rgb="FF92D050"/>
        <bgColor indexed="64"/>
      </patternFill>
    </fill>
  </fills>
  <borders count="1">
    <border>
      <left/>
      <right/>
      <top/>
      <bottom/>
      <diagonal/>
    </border>
  </borders>
  <cellStyleXfs count="2">
    <xf numFmtId="0" fontId="0" fillId="0" borderId="0"/>
    <xf numFmtId="43" fontId="10" fillId="0" borderId="0" applyFont="0" applyFill="0" applyBorder="0" applyAlignment="0" applyProtection="0"/>
  </cellStyleXfs>
  <cellXfs count="46">
    <xf numFmtId="0" fontId="0" fillId="0" borderId="0" xfId="0"/>
    <xf numFmtId="0" fontId="2" fillId="0" borderId="0" xfId="0" applyFont="1" applyAlignment="1">
      <alignment vertical="center" wrapText="1"/>
    </xf>
    <xf numFmtId="0" fontId="2" fillId="0" borderId="0" xfId="0" applyFont="1" applyAlignment="1">
      <alignment wrapText="1"/>
    </xf>
    <xf numFmtId="0" fontId="2" fillId="0" borderId="0" xfId="0" applyFont="1"/>
    <xf numFmtId="0" fontId="2" fillId="0" borderId="0" xfId="0" applyFont="1" applyAlignment="1">
      <alignment vertical="center"/>
    </xf>
    <xf numFmtId="0" fontId="0" fillId="0" borderId="0" xfId="0" applyAlignment="1">
      <alignment vertical="center"/>
    </xf>
    <xf numFmtId="0" fontId="3" fillId="0" borderId="0" xfId="0" applyFont="1" applyAlignment="1">
      <alignment vertical="center" wrapText="1"/>
    </xf>
    <xf numFmtId="0" fontId="0" fillId="0" borderId="0" xfId="0" applyAlignment="1">
      <alignment vertical="center" wrapText="1"/>
    </xf>
    <xf numFmtId="6" fontId="4" fillId="0" borderId="0" xfId="0" applyNumberFormat="1" applyFont="1" applyAlignment="1">
      <alignment vertical="center"/>
    </xf>
    <xf numFmtId="0" fontId="4" fillId="0" borderId="0" xfId="0" applyFont="1" applyAlignment="1">
      <alignment vertical="center"/>
    </xf>
    <xf numFmtId="14" fontId="4" fillId="0" borderId="0" xfId="0" applyNumberFormat="1" applyFont="1" applyAlignment="1">
      <alignment vertical="center"/>
    </xf>
    <xf numFmtId="0" fontId="0" fillId="0" borderId="0" xfId="0" applyAlignment="1">
      <alignment horizontal="right" vertical="center"/>
    </xf>
    <xf numFmtId="0" fontId="2" fillId="0" borderId="0" xfId="0" applyFont="1" applyAlignment="1">
      <alignment horizontal="left" vertical="center" wrapText="1"/>
    </xf>
    <xf numFmtId="0" fontId="2" fillId="2" borderId="0" xfId="0" applyFont="1" applyFill="1" applyAlignment="1">
      <alignment horizontal="left" vertical="center" wrapText="1"/>
    </xf>
    <xf numFmtId="0" fontId="6" fillId="3" borderId="0" xfId="0" applyFont="1" applyFill="1" applyAlignment="1">
      <alignment horizontal="left"/>
    </xf>
    <xf numFmtId="0" fontId="5" fillId="2" borderId="0" xfId="0" applyFont="1" applyFill="1" applyAlignment="1">
      <alignment horizontal="center"/>
    </xf>
    <xf numFmtId="0" fontId="0" fillId="0" borderId="0" xfId="0" applyAlignment="1">
      <alignment horizontal="center"/>
    </xf>
    <xf numFmtId="0" fontId="7" fillId="0" borderId="0" xfId="0" applyFont="1" applyAlignment="1">
      <alignment horizontal="left" indent="2"/>
    </xf>
    <xf numFmtId="0" fontId="0" fillId="0" borderId="0" xfId="0" applyAlignment="1">
      <alignment horizontal="left" indent="2"/>
    </xf>
    <xf numFmtId="0" fontId="7" fillId="0" borderId="0" xfId="0" applyFont="1" applyAlignment="1">
      <alignment horizontal="left" indent="1"/>
    </xf>
    <xf numFmtId="0" fontId="7" fillId="3" borderId="0" xfId="0" applyFont="1" applyFill="1" applyAlignment="1">
      <alignment horizontal="left"/>
    </xf>
    <xf numFmtId="0" fontId="8" fillId="0" borderId="0" xfId="0" applyFont="1" applyAlignment="1">
      <alignment horizontal="left" indent="1"/>
    </xf>
    <xf numFmtId="0" fontId="2" fillId="2" borderId="0" xfId="0" applyFont="1" applyFill="1" applyAlignment="1">
      <alignment vertical="center"/>
    </xf>
    <xf numFmtId="0" fontId="2" fillId="2" borderId="0" xfId="0" applyFont="1" applyFill="1" applyAlignment="1">
      <alignment vertical="center" wrapText="1"/>
    </xf>
    <xf numFmtId="0" fontId="2" fillId="6" borderId="0" xfId="0" applyFont="1" applyFill="1" applyAlignment="1">
      <alignment vertical="center"/>
    </xf>
    <xf numFmtId="0" fontId="2" fillId="7" borderId="0" xfId="0" applyFont="1" applyFill="1" applyAlignment="1">
      <alignment vertical="center"/>
    </xf>
    <xf numFmtId="0" fontId="2" fillId="8" borderId="0" xfId="0" applyFont="1" applyFill="1" applyAlignment="1">
      <alignment vertical="center"/>
    </xf>
    <xf numFmtId="0" fontId="2" fillId="9" borderId="0" xfId="0" applyFont="1" applyFill="1" applyAlignment="1">
      <alignment vertical="center"/>
    </xf>
    <xf numFmtId="0" fontId="2" fillId="10" borderId="0" xfId="0" applyFont="1" applyFill="1" applyAlignment="1">
      <alignment vertical="center"/>
    </xf>
    <xf numFmtId="0" fontId="2" fillId="5" borderId="0" xfId="0" applyFont="1" applyFill="1" applyAlignment="1">
      <alignment vertical="center"/>
    </xf>
    <xf numFmtId="0" fontId="2" fillId="11" borderId="0" xfId="0" applyFont="1" applyFill="1" applyAlignment="1">
      <alignment vertical="center"/>
    </xf>
    <xf numFmtId="43" fontId="4" fillId="0" borderId="0" xfId="1" applyFont="1" applyAlignment="1">
      <alignment vertical="center"/>
    </xf>
    <xf numFmtId="14" fontId="8" fillId="0" borderId="0" xfId="0" applyNumberFormat="1" applyFont="1" applyAlignment="1">
      <alignment vertical="center"/>
    </xf>
    <xf numFmtId="0" fontId="4" fillId="0" borderId="0" xfId="0" applyFont="1"/>
    <xf numFmtId="0" fontId="6" fillId="12" borderId="0" xfId="0" applyFont="1" applyFill="1" applyAlignment="1">
      <alignment horizontal="left"/>
    </xf>
    <xf numFmtId="8" fontId="0" fillId="0" borderId="0" xfId="0" applyNumberFormat="1" applyAlignment="1">
      <alignment vertical="center"/>
    </xf>
    <xf numFmtId="14" fontId="0" fillId="0" borderId="0" xfId="0" applyNumberFormat="1" applyAlignment="1">
      <alignment vertical="center"/>
    </xf>
    <xf numFmtId="0" fontId="13" fillId="0" borderId="0" xfId="0" applyFont="1" applyAlignment="1">
      <alignment horizontal="right" vertical="center"/>
    </xf>
    <xf numFmtId="8" fontId="14" fillId="0" borderId="0" xfId="0" applyNumberFormat="1" applyFont="1" applyAlignment="1">
      <alignment vertical="center" wrapText="1"/>
    </xf>
    <xf numFmtId="0" fontId="1" fillId="0" borderId="0" xfId="0" applyFont="1" applyAlignment="1">
      <alignment vertical="center" wrapText="1"/>
    </xf>
    <xf numFmtId="0" fontId="0" fillId="2" borderId="0" xfId="0" applyFill="1" applyAlignment="1">
      <alignment vertical="center" wrapText="1"/>
    </xf>
    <xf numFmtId="0" fontId="0" fillId="13" borderId="0" xfId="0" applyFill="1" applyAlignment="1">
      <alignment vertical="center" wrapText="1"/>
    </xf>
    <xf numFmtId="0" fontId="0" fillId="0" borderId="0" xfId="0" quotePrefix="1" applyAlignment="1">
      <alignment horizontal="right" vertical="center"/>
    </xf>
    <xf numFmtId="0" fontId="0" fillId="6" borderId="0" xfId="0" applyFill="1" applyAlignment="1">
      <alignment vertical="center" wrapText="1"/>
    </xf>
    <xf numFmtId="43" fontId="4" fillId="0" borderId="0" xfId="1" applyFont="1" applyFill="1" applyAlignment="1">
      <alignment vertical="center"/>
    </xf>
    <xf numFmtId="0" fontId="9" fillId="4" borderId="0" xfId="0" applyFont="1" applyFill="1" applyAlignment="1">
      <alignment horizontal="center"/>
    </xf>
  </cellXfs>
  <cellStyles count="2">
    <cellStyle name="Millares"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urldefense.com/v3/__https:/www.adjudicacionestic.com/front/login.php?sec=licitaciones-contenido&amp;var=169398__;!!KDf9ebxpXGLC!AheiHO6GY2_-jl373rz5mzr-FiqfBcMz3ik5tlDQ6FW_Omrz94bjdihkPDnAR3teRioynbo4uwA1VfdBDOEFMx1TLoabD57okBVTBmwKuYHvpr_BfhRM$"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CD343-C256-4583-A237-DCFDBEAAA5DC}">
  <dimension ref="A1:E54"/>
  <sheetViews>
    <sheetView zoomScale="90" zoomScaleNormal="90" workbookViewId="0">
      <selection activeCell="A4" sqref="A4"/>
    </sheetView>
  </sheetViews>
  <sheetFormatPr baseColWidth="10" defaultColWidth="11.453125" defaultRowHeight="14.5" x14ac:dyDescent="0.35"/>
  <cols>
    <col min="1" max="1" width="60.54296875" customWidth="1"/>
    <col min="2" max="2" width="10.453125" bestFit="1" customWidth="1"/>
    <col min="3" max="3" width="23.1796875" bestFit="1" customWidth="1"/>
    <col min="4" max="4" width="41.54296875" customWidth="1"/>
    <col min="5" max="5" width="18.54296875" bestFit="1" customWidth="1"/>
  </cols>
  <sheetData>
    <row r="1" spans="1:5" ht="18.5" x14ac:dyDescent="0.45">
      <c r="A1" s="45" t="s">
        <v>0</v>
      </c>
      <c r="B1" s="45"/>
      <c r="C1" s="45"/>
      <c r="D1" s="45"/>
      <c r="E1" s="45"/>
    </row>
    <row r="3" spans="1:5" x14ac:dyDescent="0.35">
      <c r="A3" s="14" t="s">
        <v>1</v>
      </c>
      <c r="B3" s="14" t="s">
        <v>2</v>
      </c>
      <c r="C3" s="20" t="s">
        <v>3</v>
      </c>
      <c r="D3" s="14" t="s">
        <v>4</v>
      </c>
      <c r="E3" s="15" t="s">
        <v>5</v>
      </c>
    </row>
    <row r="4" spans="1:5" x14ac:dyDescent="0.35">
      <c r="A4" t="s">
        <v>6</v>
      </c>
      <c r="B4" t="s">
        <v>7</v>
      </c>
      <c r="C4" s="19" t="s">
        <v>8</v>
      </c>
      <c r="D4" s="17" t="s">
        <v>9</v>
      </c>
      <c r="E4" s="16" t="s">
        <v>10</v>
      </c>
    </row>
    <row r="5" spans="1:5" x14ac:dyDescent="0.35">
      <c r="A5" t="s">
        <v>11</v>
      </c>
      <c r="B5" t="s">
        <v>7</v>
      </c>
      <c r="C5" s="19" t="s">
        <v>8</v>
      </c>
      <c r="D5" s="18" t="s">
        <v>12</v>
      </c>
      <c r="E5" s="16" t="s">
        <v>13</v>
      </c>
    </row>
    <row r="6" spans="1:5" x14ac:dyDescent="0.35">
      <c r="A6" t="s">
        <v>14</v>
      </c>
      <c r="B6" t="s">
        <v>7</v>
      </c>
      <c r="C6" s="19" t="s">
        <v>8</v>
      </c>
      <c r="D6" s="18" t="s">
        <v>15</v>
      </c>
      <c r="E6" s="16" t="s">
        <v>16</v>
      </c>
    </row>
    <row r="7" spans="1:5" x14ac:dyDescent="0.35">
      <c r="A7" t="s">
        <v>17</v>
      </c>
      <c r="B7" t="s">
        <v>7</v>
      </c>
      <c r="C7" s="19" t="s">
        <v>8</v>
      </c>
      <c r="D7" s="18" t="s">
        <v>18</v>
      </c>
      <c r="E7" s="16" t="s">
        <v>16</v>
      </c>
    </row>
    <row r="8" spans="1:5" x14ac:dyDescent="0.35">
      <c r="A8" t="s">
        <v>19</v>
      </c>
      <c r="B8" t="s">
        <v>7</v>
      </c>
      <c r="C8" s="19" t="s">
        <v>8</v>
      </c>
      <c r="D8" s="18" t="s">
        <v>20</v>
      </c>
      <c r="E8" s="16" t="s">
        <v>10</v>
      </c>
    </row>
    <row r="9" spans="1:5" x14ac:dyDescent="0.35">
      <c r="A9" t="s">
        <v>21</v>
      </c>
      <c r="B9" t="s">
        <v>7</v>
      </c>
      <c r="C9" s="21" t="s">
        <v>22</v>
      </c>
      <c r="D9" s="18" t="s">
        <v>23</v>
      </c>
      <c r="E9" s="16" t="s">
        <v>13</v>
      </c>
    </row>
    <row r="10" spans="1:5" x14ac:dyDescent="0.35">
      <c r="A10" t="s">
        <v>24</v>
      </c>
      <c r="B10" t="s">
        <v>7</v>
      </c>
      <c r="C10" s="21" t="s">
        <v>22</v>
      </c>
      <c r="D10" s="18" t="s">
        <v>25</v>
      </c>
      <c r="E10" s="16" t="s">
        <v>13</v>
      </c>
    </row>
    <row r="11" spans="1:5" x14ac:dyDescent="0.35">
      <c r="A11" t="s">
        <v>26</v>
      </c>
      <c r="B11" t="s">
        <v>7</v>
      </c>
      <c r="C11" s="21" t="s">
        <v>22</v>
      </c>
      <c r="D11" s="18" t="s">
        <v>27</v>
      </c>
      <c r="E11" s="16" t="s">
        <v>13</v>
      </c>
    </row>
    <row r="12" spans="1:5" x14ac:dyDescent="0.35">
      <c r="A12" t="s">
        <v>28</v>
      </c>
      <c r="B12" t="s">
        <v>7</v>
      </c>
      <c r="C12" s="21" t="s">
        <v>22</v>
      </c>
      <c r="D12" s="18" t="s">
        <v>29</v>
      </c>
      <c r="E12" s="16" t="s">
        <v>13</v>
      </c>
    </row>
    <row r="13" spans="1:5" x14ac:dyDescent="0.35">
      <c r="A13" t="s">
        <v>30</v>
      </c>
      <c r="B13" t="s">
        <v>7</v>
      </c>
      <c r="C13" s="21" t="s">
        <v>31</v>
      </c>
      <c r="D13" s="18" t="s">
        <v>32</v>
      </c>
      <c r="E13" s="16" t="s">
        <v>16</v>
      </c>
    </row>
    <row r="14" spans="1:5" x14ac:dyDescent="0.35">
      <c r="A14" t="s">
        <v>33</v>
      </c>
      <c r="B14" t="s">
        <v>7</v>
      </c>
      <c r="C14" s="21" t="s">
        <v>31</v>
      </c>
      <c r="D14" s="18" t="s">
        <v>34</v>
      </c>
      <c r="E14" s="16" t="s">
        <v>16</v>
      </c>
    </row>
    <row r="15" spans="1:5" x14ac:dyDescent="0.35">
      <c r="A15" t="s">
        <v>35</v>
      </c>
      <c r="B15" t="s">
        <v>7</v>
      </c>
      <c r="C15" s="21" t="s">
        <v>31</v>
      </c>
      <c r="D15" s="18" t="s">
        <v>36</v>
      </c>
      <c r="E15" s="16" t="s">
        <v>16</v>
      </c>
    </row>
    <row r="16" spans="1:5" x14ac:dyDescent="0.35">
      <c r="A16" t="s">
        <v>37</v>
      </c>
      <c r="B16" t="s">
        <v>7</v>
      </c>
      <c r="C16" s="21" t="s">
        <v>31</v>
      </c>
      <c r="D16" s="18" t="s">
        <v>38</v>
      </c>
      <c r="E16" s="16" t="s">
        <v>16</v>
      </c>
    </row>
    <row r="17" spans="1:5" x14ac:dyDescent="0.35">
      <c r="A17" t="s">
        <v>39</v>
      </c>
      <c r="B17" t="s">
        <v>7</v>
      </c>
      <c r="C17" s="21" t="s">
        <v>40</v>
      </c>
      <c r="D17" s="18" t="s">
        <v>41</v>
      </c>
      <c r="E17" s="16" t="s">
        <v>16</v>
      </c>
    </row>
    <row r="18" spans="1:5" x14ac:dyDescent="0.35">
      <c r="A18" t="s">
        <v>42</v>
      </c>
      <c r="B18" t="s">
        <v>7</v>
      </c>
      <c r="C18" s="21" t="s">
        <v>40</v>
      </c>
      <c r="D18" s="18" t="s">
        <v>43</v>
      </c>
      <c r="E18" s="16" t="s">
        <v>16</v>
      </c>
    </row>
    <row r="19" spans="1:5" x14ac:dyDescent="0.35">
      <c r="A19" t="s">
        <v>44</v>
      </c>
      <c r="B19" t="s">
        <v>7</v>
      </c>
      <c r="C19" s="21" t="s">
        <v>40</v>
      </c>
      <c r="D19" s="18" t="s">
        <v>45</v>
      </c>
      <c r="E19" s="16" t="s">
        <v>16</v>
      </c>
    </row>
    <row r="20" spans="1:5" x14ac:dyDescent="0.35">
      <c r="A20" t="s">
        <v>46</v>
      </c>
      <c r="B20" t="s">
        <v>7</v>
      </c>
      <c r="C20" s="21" t="s">
        <v>40</v>
      </c>
      <c r="D20" s="18" t="s">
        <v>47</v>
      </c>
      <c r="E20" s="16" t="s">
        <v>13</v>
      </c>
    </row>
    <row r="23" spans="1:5" x14ac:dyDescent="0.35">
      <c r="A23" s="34" t="s">
        <v>1</v>
      </c>
      <c r="B23" s="14" t="s">
        <v>2</v>
      </c>
      <c r="C23" s="14" t="s">
        <v>3</v>
      </c>
      <c r="D23" s="14" t="s">
        <v>4</v>
      </c>
    </row>
    <row r="24" spans="1:5" x14ac:dyDescent="0.35">
      <c r="A24" t="s">
        <v>48</v>
      </c>
      <c r="B24" t="s">
        <v>49</v>
      </c>
      <c r="C24" s="19" t="s">
        <v>50</v>
      </c>
      <c r="D24" s="18" t="s">
        <v>51</v>
      </c>
    </row>
    <row r="25" spans="1:5" x14ac:dyDescent="0.35">
      <c r="A25" t="s">
        <v>52</v>
      </c>
      <c r="B25" t="s">
        <v>49</v>
      </c>
      <c r="C25" s="19" t="s">
        <v>50</v>
      </c>
      <c r="D25" s="18" t="s">
        <v>53</v>
      </c>
    </row>
    <row r="26" spans="1:5" x14ac:dyDescent="0.35">
      <c r="A26" t="s">
        <v>54</v>
      </c>
      <c r="B26" t="s">
        <v>49</v>
      </c>
      <c r="C26" s="19" t="s">
        <v>50</v>
      </c>
      <c r="D26" s="18" t="s">
        <v>55</v>
      </c>
    </row>
    <row r="27" spans="1:5" x14ac:dyDescent="0.35">
      <c r="A27" t="s">
        <v>56</v>
      </c>
      <c r="B27" t="s">
        <v>49</v>
      </c>
      <c r="C27" s="19" t="s">
        <v>57</v>
      </c>
      <c r="D27" s="18" t="s">
        <v>58</v>
      </c>
    </row>
    <row r="28" spans="1:5" x14ac:dyDescent="0.35">
      <c r="A28" t="s">
        <v>59</v>
      </c>
      <c r="B28" t="s">
        <v>49</v>
      </c>
      <c r="C28" s="19" t="s">
        <v>57</v>
      </c>
      <c r="D28" s="18" t="s">
        <v>60</v>
      </c>
    </row>
    <row r="29" spans="1:5" x14ac:dyDescent="0.35">
      <c r="A29" t="s">
        <v>61</v>
      </c>
      <c r="B29" t="s">
        <v>49</v>
      </c>
      <c r="C29" s="19" t="s">
        <v>57</v>
      </c>
      <c r="D29" s="18" t="s">
        <v>62</v>
      </c>
    </row>
    <row r="30" spans="1:5" x14ac:dyDescent="0.35">
      <c r="A30" t="s">
        <v>63</v>
      </c>
      <c r="B30" t="s">
        <v>49</v>
      </c>
      <c r="C30" s="19" t="s">
        <v>57</v>
      </c>
      <c r="D30" s="18" t="s">
        <v>64</v>
      </c>
    </row>
    <row r="31" spans="1:5" x14ac:dyDescent="0.35">
      <c r="A31" t="s">
        <v>65</v>
      </c>
      <c r="B31" t="s">
        <v>49</v>
      </c>
      <c r="C31" s="19" t="s">
        <v>66</v>
      </c>
      <c r="D31" s="18" t="s">
        <v>67</v>
      </c>
    </row>
    <row r="32" spans="1:5" x14ac:dyDescent="0.35">
      <c r="A32" t="s">
        <v>68</v>
      </c>
      <c r="B32" t="s">
        <v>49</v>
      </c>
      <c r="C32" s="19" t="s">
        <v>69</v>
      </c>
      <c r="D32" s="18" t="s">
        <v>70</v>
      </c>
    </row>
    <row r="33" spans="1:4" x14ac:dyDescent="0.35">
      <c r="A33" t="s">
        <v>71</v>
      </c>
      <c r="B33" t="s">
        <v>49</v>
      </c>
      <c r="C33" s="19" t="s">
        <v>69</v>
      </c>
      <c r="D33" s="18" t="s">
        <v>72</v>
      </c>
    </row>
    <row r="34" spans="1:4" x14ac:dyDescent="0.35">
      <c r="A34" t="s">
        <v>73</v>
      </c>
      <c r="B34" t="s">
        <v>49</v>
      </c>
      <c r="C34" s="19" t="s">
        <v>69</v>
      </c>
      <c r="D34" s="18" t="s">
        <v>74</v>
      </c>
    </row>
    <row r="35" spans="1:4" x14ac:dyDescent="0.35">
      <c r="A35" t="s">
        <v>75</v>
      </c>
      <c r="B35" t="s">
        <v>49</v>
      </c>
      <c r="C35" s="19" t="s">
        <v>76</v>
      </c>
      <c r="D35" s="18" t="s">
        <v>77</v>
      </c>
    </row>
    <row r="36" spans="1:4" x14ac:dyDescent="0.35">
      <c r="A36" t="s">
        <v>78</v>
      </c>
      <c r="B36" t="s">
        <v>49</v>
      </c>
      <c r="C36" s="19" t="s">
        <v>76</v>
      </c>
      <c r="D36" s="18" t="s">
        <v>79</v>
      </c>
    </row>
    <row r="37" spans="1:4" x14ac:dyDescent="0.35">
      <c r="A37" t="s">
        <v>80</v>
      </c>
      <c r="B37" t="s">
        <v>49</v>
      </c>
      <c r="C37" s="19" t="s">
        <v>76</v>
      </c>
      <c r="D37" s="18" t="s">
        <v>81</v>
      </c>
    </row>
    <row r="38" spans="1:4" x14ac:dyDescent="0.35">
      <c r="A38" t="s">
        <v>82</v>
      </c>
      <c r="B38" t="s">
        <v>49</v>
      </c>
      <c r="C38" s="19" t="s">
        <v>83</v>
      </c>
      <c r="D38" s="18" t="s">
        <v>84</v>
      </c>
    </row>
    <row r="39" spans="1:4" x14ac:dyDescent="0.35">
      <c r="A39" t="s">
        <v>85</v>
      </c>
      <c r="B39" t="s">
        <v>49</v>
      </c>
      <c r="C39" s="19" t="s">
        <v>83</v>
      </c>
      <c r="D39" s="18" t="s">
        <v>86</v>
      </c>
    </row>
    <row r="40" spans="1:4" x14ac:dyDescent="0.35">
      <c r="A40" t="s">
        <v>87</v>
      </c>
      <c r="B40" t="s">
        <v>49</v>
      </c>
      <c r="C40" s="19" t="s">
        <v>83</v>
      </c>
      <c r="D40" s="18" t="s">
        <v>88</v>
      </c>
    </row>
    <row r="41" spans="1:4" x14ac:dyDescent="0.35">
      <c r="A41" t="s">
        <v>89</v>
      </c>
      <c r="B41" t="s">
        <v>49</v>
      </c>
      <c r="C41" s="19" t="s">
        <v>83</v>
      </c>
      <c r="D41" s="18" t="s">
        <v>90</v>
      </c>
    </row>
    <row r="42" spans="1:4" x14ac:dyDescent="0.35">
      <c r="A42" t="s">
        <v>91</v>
      </c>
      <c r="B42" t="s">
        <v>49</v>
      </c>
      <c r="C42" s="19" t="s">
        <v>83</v>
      </c>
      <c r="D42" s="18" t="s">
        <v>92</v>
      </c>
    </row>
    <row r="43" spans="1:4" x14ac:dyDescent="0.35">
      <c r="A43" t="s">
        <v>93</v>
      </c>
      <c r="B43" t="s">
        <v>49</v>
      </c>
      <c r="C43" s="19" t="s">
        <v>83</v>
      </c>
      <c r="D43" s="18" t="s">
        <v>94</v>
      </c>
    </row>
    <row r="44" spans="1:4" x14ac:dyDescent="0.35">
      <c r="A44" t="s">
        <v>95</v>
      </c>
      <c r="B44" t="s">
        <v>49</v>
      </c>
      <c r="C44" s="19" t="s">
        <v>83</v>
      </c>
      <c r="D44" s="18" t="s">
        <v>96</v>
      </c>
    </row>
    <row r="45" spans="1:4" x14ac:dyDescent="0.35">
      <c r="A45" t="s">
        <v>97</v>
      </c>
      <c r="B45" t="s">
        <v>49</v>
      </c>
      <c r="C45" s="19" t="s">
        <v>83</v>
      </c>
      <c r="D45" s="18" t="s">
        <v>98</v>
      </c>
    </row>
    <row r="46" spans="1:4" x14ac:dyDescent="0.35">
      <c r="A46" t="s">
        <v>99</v>
      </c>
      <c r="B46" t="s">
        <v>49</v>
      </c>
      <c r="C46" s="19" t="s">
        <v>100</v>
      </c>
      <c r="D46" s="18" t="s">
        <v>101</v>
      </c>
    </row>
    <row r="47" spans="1:4" x14ac:dyDescent="0.35">
      <c r="A47" t="s">
        <v>102</v>
      </c>
      <c r="B47" t="s">
        <v>49</v>
      </c>
      <c r="C47" s="19" t="s">
        <v>103</v>
      </c>
      <c r="D47" s="18" t="s">
        <v>104</v>
      </c>
    </row>
    <row r="48" spans="1:4" x14ac:dyDescent="0.35">
      <c r="A48" t="s">
        <v>105</v>
      </c>
      <c r="B48" t="s">
        <v>49</v>
      </c>
      <c r="C48" s="19" t="s">
        <v>103</v>
      </c>
      <c r="D48" s="18" t="s">
        <v>106</v>
      </c>
    </row>
    <row r="49" spans="1:4" x14ac:dyDescent="0.35">
      <c r="A49" t="s">
        <v>107</v>
      </c>
      <c r="B49" t="s">
        <v>49</v>
      </c>
      <c r="C49" s="19" t="s">
        <v>103</v>
      </c>
      <c r="D49" s="18" t="s">
        <v>108</v>
      </c>
    </row>
    <row r="50" spans="1:4" x14ac:dyDescent="0.35">
      <c r="A50" t="s">
        <v>109</v>
      </c>
      <c r="B50" t="s">
        <v>49</v>
      </c>
      <c r="C50" s="19" t="s">
        <v>103</v>
      </c>
      <c r="D50" s="18" t="s">
        <v>110</v>
      </c>
    </row>
    <row r="51" spans="1:4" x14ac:dyDescent="0.35">
      <c r="A51" t="s">
        <v>111</v>
      </c>
      <c r="B51" t="s">
        <v>49</v>
      </c>
      <c r="C51" s="19" t="s">
        <v>112</v>
      </c>
      <c r="D51" s="18" t="s">
        <v>113</v>
      </c>
    </row>
    <row r="52" spans="1:4" x14ac:dyDescent="0.35">
      <c r="A52" t="s">
        <v>114</v>
      </c>
      <c r="B52" t="s">
        <v>49</v>
      </c>
      <c r="C52" s="19" t="s">
        <v>112</v>
      </c>
      <c r="D52" s="18" t="s">
        <v>115</v>
      </c>
    </row>
    <row r="53" spans="1:4" x14ac:dyDescent="0.35">
      <c r="A53" t="s">
        <v>116</v>
      </c>
      <c r="B53" t="s">
        <v>49</v>
      </c>
      <c r="C53" s="19" t="s">
        <v>112</v>
      </c>
      <c r="D53" s="18" t="s">
        <v>117</v>
      </c>
    </row>
    <row r="54" spans="1:4" x14ac:dyDescent="0.35">
      <c r="A54" t="s">
        <v>118</v>
      </c>
      <c r="B54" t="s">
        <v>49</v>
      </c>
      <c r="C54" s="19" t="s">
        <v>112</v>
      </c>
      <c r="D54" s="18" t="s">
        <v>119</v>
      </c>
    </row>
  </sheetData>
  <sortState xmlns:xlrd2="http://schemas.microsoft.com/office/spreadsheetml/2017/richdata2" ref="A24:D54">
    <sortCondition ref="C26:C54"/>
  </sortState>
  <mergeCells count="1">
    <mergeCell ref="A1:E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FC59C-71F3-446E-9690-04D61CA97BC4}">
  <dimension ref="A1:BD100"/>
  <sheetViews>
    <sheetView tabSelected="1" zoomScale="90" zoomScaleNormal="90" workbookViewId="0">
      <pane ySplit="1" topLeftCell="A2" activePane="bottomLeft" state="frozen"/>
      <selection activeCell="B1" sqref="B1"/>
      <selection pane="bottomLeft" activeCell="D1" sqref="D1:D1048576"/>
    </sheetView>
  </sheetViews>
  <sheetFormatPr baseColWidth="10" defaultColWidth="10.81640625" defaultRowHeight="14.5" x14ac:dyDescent="0.35"/>
  <cols>
    <col min="1" max="1" width="10.7265625" style="5" bestFit="1" customWidth="1"/>
    <col min="2" max="2" width="80.81640625" style="7" customWidth="1"/>
    <col min="3" max="3" width="28.453125" style="7" customWidth="1"/>
    <col min="4" max="4" width="31.81640625" style="11" bestFit="1" customWidth="1"/>
    <col min="5" max="5" width="19.54296875" style="11" bestFit="1" customWidth="1"/>
    <col min="6" max="6" width="78.453125" style="7" customWidth="1"/>
    <col min="7" max="7" width="17.81640625" style="5" customWidth="1"/>
    <col min="8" max="8" width="69.453125" style="5" customWidth="1"/>
    <col min="9" max="9" width="28.453125" style="5" customWidth="1"/>
    <col min="10" max="10" width="11.1796875" style="5" bestFit="1" customWidth="1"/>
    <col min="11" max="11" width="21.54296875" style="5" bestFit="1" customWidth="1"/>
    <col min="12" max="12" width="37.81640625" style="5" bestFit="1" customWidth="1"/>
    <col min="13" max="13" width="31.54296875" style="5" customWidth="1"/>
    <col min="14" max="14" width="36.1796875" style="5" customWidth="1"/>
    <col min="15" max="15" width="19.453125" style="5" customWidth="1"/>
    <col min="16" max="16" width="105.81640625" style="5" bestFit="1" customWidth="1"/>
    <col min="17" max="17" width="30.7265625" style="5" bestFit="1" customWidth="1"/>
    <col min="18" max="18" width="39.54296875" style="5" customWidth="1"/>
    <col min="19" max="19" width="27.81640625" style="5" bestFit="1" customWidth="1"/>
    <col min="20" max="20" width="18.54296875" style="5" bestFit="1" customWidth="1"/>
    <col min="21" max="21" width="19.54296875" style="5" customWidth="1"/>
    <col min="22" max="22" width="18.81640625" style="5" bestFit="1" customWidth="1"/>
    <col min="23" max="23" width="27.81640625" style="5" customWidth="1"/>
    <col min="24" max="25" width="18.81640625" style="5" customWidth="1"/>
    <col min="26" max="26" width="30.453125" style="5" customWidth="1"/>
    <col min="27" max="27" width="18" style="5" bestFit="1" customWidth="1"/>
    <col min="28" max="28" width="19.453125" style="5" bestFit="1" customWidth="1"/>
    <col min="29" max="29" width="12.453125" style="5" bestFit="1" customWidth="1"/>
    <col min="30" max="30" width="21.453125" style="5" bestFit="1" customWidth="1"/>
    <col min="31" max="31" width="9.1796875" style="5" bestFit="1" customWidth="1"/>
    <col min="32" max="32" width="47.453125" style="5" bestFit="1" customWidth="1"/>
    <col min="33" max="33" width="29.7265625" style="5" customWidth="1"/>
    <col min="34" max="34" width="11.26953125" style="5" bestFit="1" customWidth="1"/>
    <col min="35" max="35" width="10.1796875" style="5" bestFit="1" customWidth="1"/>
    <col min="36" max="36" width="10.7265625" style="5" bestFit="1" customWidth="1"/>
    <col min="37" max="37" width="15" style="5" bestFit="1" customWidth="1"/>
    <col min="38" max="38" width="9.1796875" style="5" bestFit="1" customWidth="1"/>
    <col min="39" max="39" width="15" style="5" bestFit="1" customWidth="1"/>
    <col min="40" max="40" width="12.1796875" style="5" bestFit="1" customWidth="1"/>
    <col min="41" max="41" width="11" style="5" bestFit="1" customWidth="1"/>
    <col min="42" max="42" width="9.453125" style="5" bestFit="1" customWidth="1"/>
    <col min="43" max="43" width="8" style="5" bestFit="1" customWidth="1"/>
    <col min="44" max="44" width="18.81640625" style="5" bestFit="1" customWidth="1"/>
    <col min="45" max="45" width="16.1796875" style="5" bestFit="1" customWidth="1"/>
    <col min="46" max="46" width="29" style="5" bestFit="1" customWidth="1"/>
    <col min="47" max="47" width="31.7265625" style="5" customWidth="1"/>
    <col min="48" max="48" width="53.54296875" style="5" customWidth="1"/>
    <col min="49" max="49" width="12" style="5" bestFit="1" customWidth="1"/>
    <col min="50" max="50" width="46.453125" style="5" customWidth="1"/>
    <col min="51" max="51" width="12" style="5" bestFit="1" customWidth="1"/>
    <col min="52" max="52" width="15.54296875" style="5" bestFit="1" customWidth="1"/>
    <col min="53" max="53" width="26.26953125" style="5" bestFit="1" customWidth="1"/>
    <col min="54" max="54" width="15.54296875" style="5" bestFit="1" customWidth="1"/>
    <col min="55" max="55" width="18.54296875" style="5" customWidth="1"/>
    <col min="56" max="56" width="23.453125" style="5" customWidth="1"/>
    <col min="57" max="16384" width="10.81640625" style="5"/>
  </cols>
  <sheetData>
    <row r="1" spans="1:56" x14ac:dyDescent="0.35">
      <c r="A1" s="1" t="s">
        <v>120</v>
      </c>
      <c r="B1" s="1" t="s">
        <v>121</v>
      </c>
      <c r="C1" s="1" t="s">
        <v>122</v>
      </c>
      <c r="D1" s="12" t="s">
        <v>123</v>
      </c>
      <c r="E1" s="13" t="s">
        <v>124</v>
      </c>
      <c r="F1" s="1" t="s">
        <v>125</v>
      </c>
      <c r="G1" s="1" t="s">
        <v>126</v>
      </c>
      <c r="H1" s="1" t="s">
        <v>1</v>
      </c>
      <c r="I1" s="23" t="s">
        <v>127</v>
      </c>
      <c r="J1" s="1" t="s">
        <v>2</v>
      </c>
      <c r="K1" s="1" t="s">
        <v>3</v>
      </c>
      <c r="L1" s="1" t="s">
        <v>4</v>
      </c>
      <c r="M1" s="1" t="s">
        <v>128</v>
      </c>
      <c r="N1" s="1" t="s">
        <v>129</v>
      </c>
      <c r="O1" s="1" t="s">
        <v>130</v>
      </c>
      <c r="P1" s="1" t="s">
        <v>131</v>
      </c>
      <c r="Q1" s="1" t="s">
        <v>132</v>
      </c>
      <c r="R1" s="1" t="s">
        <v>133</v>
      </c>
      <c r="S1" s="1" t="s">
        <v>134</v>
      </c>
      <c r="T1" s="1" t="s">
        <v>135</v>
      </c>
      <c r="U1" s="1" t="s">
        <v>136</v>
      </c>
      <c r="V1" s="1" t="s">
        <v>137</v>
      </c>
      <c r="W1" s="23" t="s">
        <v>138</v>
      </c>
      <c r="X1" s="23" t="s">
        <v>139</v>
      </c>
      <c r="Y1" s="23" t="s">
        <v>140</v>
      </c>
      <c r="Z1" s="1" t="s">
        <v>141</v>
      </c>
      <c r="AA1" s="1" t="s">
        <v>142</v>
      </c>
      <c r="AB1" s="1" t="s">
        <v>143</v>
      </c>
      <c r="AC1" s="4" t="s">
        <v>144</v>
      </c>
      <c r="AD1" s="22" t="s">
        <v>145</v>
      </c>
      <c r="AE1" s="4" t="s">
        <v>146</v>
      </c>
      <c r="AF1" s="4" t="s">
        <v>147</v>
      </c>
      <c r="AG1" s="28" t="s">
        <v>148</v>
      </c>
      <c r="AH1" s="29" t="s">
        <v>149</v>
      </c>
      <c r="AI1" s="29" t="s">
        <v>150</v>
      </c>
      <c r="AJ1" s="29" t="s">
        <v>151</v>
      </c>
      <c r="AK1" s="27" t="s">
        <v>152</v>
      </c>
      <c r="AL1" s="27" t="s">
        <v>153</v>
      </c>
      <c r="AM1" s="27" t="s">
        <v>150</v>
      </c>
      <c r="AN1" s="27" t="s">
        <v>154</v>
      </c>
      <c r="AO1" s="27" t="s">
        <v>155</v>
      </c>
      <c r="AP1" s="27" t="s">
        <v>156</v>
      </c>
      <c r="AQ1" s="27" t="s">
        <v>157</v>
      </c>
      <c r="AR1" s="27" t="s">
        <v>158</v>
      </c>
      <c r="AS1" s="27" t="s">
        <v>159</v>
      </c>
      <c r="AT1" s="30" t="s">
        <v>160</v>
      </c>
      <c r="AU1" s="30" t="s">
        <v>161</v>
      </c>
      <c r="AV1" s="4" t="s">
        <v>162</v>
      </c>
      <c r="AW1" s="24" t="s">
        <v>163</v>
      </c>
      <c r="AX1" s="24" t="s">
        <v>164</v>
      </c>
      <c r="AY1" s="25" t="s">
        <v>165</v>
      </c>
      <c r="AZ1" s="25" t="s">
        <v>166</v>
      </c>
      <c r="BA1" s="26" t="s">
        <v>167</v>
      </c>
      <c r="BB1" s="26" t="s">
        <v>168</v>
      </c>
      <c r="BC1" s="4" t="s">
        <v>169</v>
      </c>
      <c r="BD1" s="4" t="s">
        <v>170</v>
      </c>
    </row>
    <row r="2" spans="1:56" ht="87" x14ac:dyDescent="0.35">
      <c r="A2" s="10">
        <v>46087</v>
      </c>
      <c r="B2" s="6" t="s">
        <v>171</v>
      </c>
      <c r="C2" s="6" t="s">
        <v>172</v>
      </c>
      <c r="D2" s="11" t="s">
        <v>173</v>
      </c>
      <c r="E2" s="11">
        <f t="shared" ref="E2:E33" si="0">COUNTIF(D:D,D2)</f>
        <v>1</v>
      </c>
      <c r="F2" s="7" t="s">
        <v>174</v>
      </c>
      <c r="G2" s="8">
        <v>250000000</v>
      </c>
      <c r="H2" s="9" t="s">
        <v>82</v>
      </c>
      <c r="I2" s="9" t="s">
        <v>175</v>
      </c>
      <c r="J2" s="9" t="s">
        <v>176</v>
      </c>
      <c r="K2" s="9" t="s">
        <v>83</v>
      </c>
      <c r="L2" s="9" t="s">
        <v>84</v>
      </c>
      <c r="M2" s="9"/>
      <c r="N2" s="9" t="s">
        <v>177</v>
      </c>
      <c r="O2" s="9"/>
      <c r="P2" s="9" t="s">
        <v>178</v>
      </c>
      <c r="Q2" s="9" t="s">
        <v>179</v>
      </c>
      <c r="R2" s="9" t="s">
        <v>180</v>
      </c>
      <c r="S2" s="9" t="s">
        <v>181</v>
      </c>
      <c r="T2" s="9"/>
      <c r="U2" s="9"/>
      <c r="V2" s="9" t="s">
        <v>182</v>
      </c>
      <c r="W2" s="9" t="str">
        <f t="shared" ref="W2:W6" si="1">MID(V2,1,10)</f>
        <v>12/03/2029</v>
      </c>
      <c r="X2" s="10">
        <f t="shared" ref="X2:X6" ca="1" si="2">TODAY()</f>
        <v>46181</v>
      </c>
      <c r="Y2" s="31">
        <f t="shared" ref="Y2:Y6" ca="1" si="3">W2-X2</f>
        <v>1008</v>
      </c>
      <c r="Z2" s="32" t="str">
        <f t="shared" ref="Z2" ca="1" si="4">IF(Y2&lt;7,"Expira en menos de 7 días",IF(Y2&lt;15,"Expira en menos de 15 días",IF(Y2&lt;30,"Expira en menos de 30 días","En plazo de presentación")))</f>
        <v>En plazo de presentación</v>
      </c>
      <c r="AA2" s="5">
        <v>100</v>
      </c>
      <c r="AD2" s="5">
        <f t="shared" ref="AD2:AD6" si="5">SUM(AA2:AC2)</f>
        <v>100</v>
      </c>
      <c r="AT2" s="7"/>
      <c r="AU2" s="7"/>
      <c r="AV2" s="7"/>
    </row>
    <row r="3" spans="1:56" ht="87" x14ac:dyDescent="0.35">
      <c r="A3" s="10">
        <v>46087</v>
      </c>
      <c r="B3" s="7" t="s">
        <v>183</v>
      </c>
      <c r="C3" s="6" t="s">
        <v>172</v>
      </c>
      <c r="D3" s="11" t="s">
        <v>184</v>
      </c>
      <c r="E3" s="11">
        <f t="shared" si="0"/>
        <v>1</v>
      </c>
      <c r="F3" s="7" t="s">
        <v>185</v>
      </c>
      <c r="G3" s="35">
        <v>100000000</v>
      </c>
      <c r="H3" s="9" t="s">
        <v>82</v>
      </c>
      <c r="I3" s="9" t="s">
        <v>175</v>
      </c>
      <c r="J3" s="9" t="s">
        <v>176</v>
      </c>
      <c r="K3" s="9" t="s">
        <v>83</v>
      </c>
      <c r="L3" s="9" t="s">
        <v>84</v>
      </c>
      <c r="M3" s="9"/>
      <c r="N3" s="9" t="s">
        <v>177</v>
      </c>
      <c r="O3" s="9"/>
      <c r="P3" s="9" t="s">
        <v>178</v>
      </c>
      <c r="Q3" s="9" t="s">
        <v>179</v>
      </c>
      <c r="R3" s="9" t="s">
        <v>180</v>
      </c>
      <c r="S3" s="9" t="s">
        <v>181</v>
      </c>
      <c r="T3" s="9"/>
      <c r="U3" s="9"/>
      <c r="V3" s="9" t="s">
        <v>182</v>
      </c>
      <c r="W3" s="9" t="str">
        <f t="shared" si="1"/>
        <v>12/03/2029</v>
      </c>
      <c r="X3" s="10">
        <f t="shared" ca="1" si="2"/>
        <v>46181</v>
      </c>
      <c r="Y3" s="31">
        <f t="shared" ca="1" si="3"/>
        <v>1008</v>
      </c>
      <c r="Z3" s="32" t="str">
        <f t="shared" ref="Z3" ca="1" si="6">IF(Y3&lt;7,"Expira en menos de 7 días",IF(Y3&lt;15,"Expira en menos de 15 días",IF(Y3&lt;30,"Expira en menos de 30 días","En plazo de presentación")))</f>
        <v>En plazo de presentación</v>
      </c>
      <c r="AA3" s="5">
        <v>100</v>
      </c>
      <c r="AD3" s="5">
        <f t="shared" si="5"/>
        <v>100</v>
      </c>
      <c r="AT3" s="7"/>
      <c r="AU3" s="7"/>
      <c r="AV3" s="7"/>
    </row>
    <row r="4" spans="1:56" ht="87" x14ac:dyDescent="0.35">
      <c r="A4" s="10">
        <v>46087</v>
      </c>
      <c r="B4" s="7" t="s">
        <v>186</v>
      </c>
      <c r="C4" s="6" t="s">
        <v>172</v>
      </c>
      <c r="D4" s="11" t="s">
        <v>187</v>
      </c>
      <c r="E4" s="11">
        <f t="shared" si="0"/>
        <v>1</v>
      </c>
      <c r="F4" s="7" t="s">
        <v>174</v>
      </c>
      <c r="G4" s="35">
        <v>71000000</v>
      </c>
      <c r="H4" s="9" t="s">
        <v>61</v>
      </c>
      <c r="I4" s="5" t="s">
        <v>175</v>
      </c>
      <c r="J4" s="9" t="s">
        <v>176</v>
      </c>
      <c r="K4" s="9" t="s">
        <v>57</v>
      </c>
      <c r="L4" s="9" t="s">
        <v>62</v>
      </c>
      <c r="M4" s="9"/>
      <c r="N4" s="9" t="s">
        <v>177</v>
      </c>
      <c r="O4" s="9"/>
      <c r="P4" s="9" t="s">
        <v>178</v>
      </c>
      <c r="Q4" s="9" t="s">
        <v>179</v>
      </c>
      <c r="R4" s="9" t="s">
        <v>180</v>
      </c>
      <c r="S4" s="9" t="s">
        <v>181</v>
      </c>
      <c r="T4" s="9"/>
      <c r="U4" s="9"/>
      <c r="V4" s="9" t="s">
        <v>182</v>
      </c>
      <c r="W4" s="9" t="str">
        <f t="shared" si="1"/>
        <v>12/03/2029</v>
      </c>
      <c r="X4" s="10">
        <f t="shared" ca="1" si="2"/>
        <v>46181</v>
      </c>
      <c r="Y4" s="31">
        <f t="shared" ca="1" si="3"/>
        <v>1008</v>
      </c>
      <c r="Z4" s="32" t="str">
        <f t="shared" ref="Z4" ca="1" si="7">IF(Y4&lt;7,"Expira en menos de 7 días",IF(Y4&lt;15,"Expira en menos de 15 días",IF(Y4&lt;30,"Expira en menos de 30 días","En plazo de presentación")))</f>
        <v>En plazo de presentación</v>
      </c>
      <c r="AA4" s="5">
        <v>100</v>
      </c>
      <c r="AD4" s="5">
        <f t="shared" si="5"/>
        <v>100</v>
      </c>
      <c r="AT4" s="7"/>
      <c r="AU4" s="7"/>
      <c r="AV4" s="7"/>
    </row>
    <row r="5" spans="1:56" ht="87" x14ac:dyDescent="0.35">
      <c r="A5" s="10">
        <v>46087</v>
      </c>
      <c r="B5" s="7" t="s">
        <v>188</v>
      </c>
      <c r="C5" s="6" t="s">
        <v>172</v>
      </c>
      <c r="D5" s="11" t="s">
        <v>189</v>
      </c>
      <c r="E5" s="11">
        <f t="shared" si="0"/>
        <v>1</v>
      </c>
      <c r="F5" s="7" t="s">
        <v>174</v>
      </c>
      <c r="G5" s="35">
        <v>20000000</v>
      </c>
      <c r="H5" s="9" t="s">
        <v>82</v>
      </c>
      <c r="I5" s="9" t="s">
        <v>175</v>
      </c>
      <c r="J5" s="9" t="s">
        <v>176</v>
      </c>
      <c r="K5" s="9" t="s">
        <v>83</v>
      </c>
      <c r="L5" s="9" t="s">
        <v>84</v>
      </c>
      <c r="N5" s="9" t="s">
        <v>177</v>
      </c>
      <c r="O5" s="9"/>
      <c r="P5" s="9" t="s">
        <v>178</v>
      </c>
      <c r="Q5" s="9" t="s">
        <v>179</v>
      </c>
      <c r="R5" s="9" t="s">
        <v>180</v>
      </c>
      <c r="S5" s="9" t="s">
        <v>181</v>
      </c>
      <c r="V5" s="9" t="s">
        <v>182</v>
      </c>
      <c r="W5" s="9" t="str">
        <f t="shared" si="1"/>
        <v>12/03/2029</v>
      </c>
      <c r="X5" s="10">
        <f t="shared" ca="1" si="2"/>
        <v>46181</v>
      </c>
      <c r="Y5" s="31">
        <f t="shared" ca="1" si="3"/>
        <v>1008</v>
      </c>
      <c r="Z5" s="32" t="str">
        <f t="shared" ref="Z5" ca="1" si="8">IF(Y5&lt;7,"Expira en menos de 7 días",IF(Y5&lt;15,"Expira en menos de 15 días",IF(Y5&lt;30,"Expira en menos de 30 días","En plazo de presentación")))</f>
        <v>En plazo de presentación</v>
      </c>
      <c r="AA5" s="5">
        <v>100</v>
      </c>
      <c r="AD5" s="5">
        <f t="shared" si="5"/>
        <v>100</v>
      </c>
      <c r="AT5" s="7"/>
      <c r="AU5" s="7"/>
      <c r="AV5" s="7"/>
    </row>
    <row r="6" spans="1:56" ht="87" x14ac:dyDescent="0.35">
      <c r="A6" s="10">
        <v>46087</v>
      </c>
      <c r="B6" s="7" t="s">
        <v>190</v>
      </c>
      <c r="C6" s="6" t="s">
        <v>172</v>
      </c>
      <c r="D6" s="11" t="s">
        <v>191</v>
      </c>
      <c r="E6" s="11">
        <f t="shared" si="0"/>
        <v>1</v>
      </c>
      <c r="F6" s="7" t="s">
        <v>174</v>
      </c>
      <c r="G6" s="35">
        <v>20000000</v>
      </c>
      <c r="H6" s="9" t="s">
        <v>82</v>
      </c>
      <c r="I6" s="9" t="s">
        <v>175</v>
      </c>
      <c r="J6" s="9" t="s">
        <v>176</v>
      </c>
      <c r="K6" s="9" t="s">
        <v>83</v>
      </c>
      <c r="L6" s="9" t="s">
        <v>84</v>
      </c>
      <c r="N6" s="9" t="s">
        <v>177</v>
      </c>
      <c r="O6" s="9"/>
      <c r="P6" s="9" t="s">
        <v>178</v>
      </c>
      <c r="Q6" s="9" t="s">
        <v>179</v>
      </c>
      <c r="R6" s="9" t="s">
        <v>180</v>
      </c>
      <c r="S6" s="9" t="s">
        <v>181</v>
      </c>
      <c r="V6" s="9" t="s">
        <v>182</v>
      </c>
      <c r="W6" s="9" t="str">
        <f t="shared" si="1"/>
        <v>12/03/2029</v>
      </c>
      <c r="X6" s="10">
        <f t="shared" ca="1" si="2"/>
        <v>46181</v>
      </c>
      <c r="Y6" s="31">
        <f t="shared" ca="1" si="3"/>
        <v>1008</v>
      </c>
      <c r="Z6" s="32" t="str">
        <f t="shared" ref="Z6" ca="1" si="9">IF(Y6&lt;7,"Expira en menos de 7 días",IF(Y6&lt;15,"Expira en menos de 15 días",IF(Y6&lt;30,"Expira en menos de 30 días","En plazo de presentación")))</f>
        <v>En plazo de presentación</v>
      </c>
      <c r="AA6" s="5">
        <v>100</v>
      </c>
      <c r="AD6" s="5">
        <f t="shared" si="5"/>
        <v>100</v>
      </c>
      <c r="AT6" s="7"/>
      <c r="AU6" s="7"/>
      <c r="AV6" s="7"/>
    </row>
    <row r="7" spans="1:56" ht="43.5" x14ac:dyDescent="0.35">
      <c r="A7" s="36">
        <v>46099</v>
      </c>
      <c r="B7" s="41" t="s">
        <v>192</v>
      </c>
      <c r="C7" s="7" t="s">
        <v>193</v>
      </c>
      <c r="D7" s="11" t="s">
        <v>194</v>
      </c>
      <c r="E7" s="11">
        <f t="shared" si="0"/>
        <v>1</v>
      </c>
      <c r="F7" s="7" t="s">
        <v>195</v>
      </c>
      <c r="G7" s="35">
        <v>3615632</v>
      </c>
      <c r="H7" s="9" t="s">
        <v>82</v>
      </c>
      <c r="I7" s="9" t="s">
        <v>175</v>
      </c>
      <c r="J7" s="9" t="s">
        <v>176</v>
      </c>
      <c r="K7" s="9" t="s">
        <v>83</v>
      </c>
      <c r="L7" s="9" t="s">
        <v>84</v>
      </c>
      <c r="N7" s="9" t="s">
        <v>196</v>
      </c>
      <c r="O7" s="9" t="s">
        <v>197</v>
      </c>
      <c r="P7" s="9" t="s">
        <v>198</v>
      </c>
      <c r="Q7" s="9" t="s">
        <v>199</v>
      </c>
      <c r="R7" s="9" t="s">
        <v>180</v>
      </c>
      <c r="S7" s="9" t="s">
        <v>200</v>
      </c>
      <c r="T7" s="5">
        <v>60</v>
      </c>
      <c r="V7" s="9" t="s">
        <v>201</v>
      </c>
      <c r="W7" s="9" t="str">
        <f t="shared" ref="W7:W68" si="10">MID(V7,1,10)</f>
        <v>16/04/2026</v>
      </c>
      <c r="X7" s="10">
        <f t="shared" ref="X7:X99" ca="1" si="11">TODAY()</f>
        <v>46181</v>
      </c>
      <c r="Y7" s="31">
        <f t="shared" ref="Y7:Y46" ca="1" si="12">W7-X7</f>
        <v>-53</v>
      </c>
      <c r="Z7" s="32" t="str">
        <f t="shared" ref="Z7:Z47" ca="1" si="13">IF(Y7&lt;7,"Expira en menos de 7 días",IF(Y7&lt;15,"Expira en menos de 15 días",IF(Y7&lt;30,"Expira en menos de 30 días","En plazo de presentación")))</f>
        <v>Expira en menos de 7 días</v>
      </c>
      <c r="AA7" s="5">
        <v>55</v>
      </c>
      <c r="AB7" s="5">
        <v>15</v>
      </c>
      <c r="AC7" s="5">
        <v>30</v>
      </c>
      <c r="AD7" s="5">
        <f t="shared" ref="AD7:AD29" si="14">SUM(AA7:AC7)</f>
        <v>100</v>
      </c>
      <c r="AE7" s="5" t="s">
        <v>202</v>
      </c>
      <c r="AF7" s="5" t="s">
        <v>203</v>
      </c>
      <c r="AT7" s="7"/>
      <c r="AU7" s="7"/>
      <c r="AV7" s="7" t="s">
        <v>204</v>
      </c>
    </row>
    <row r="8" spans="1:56" x14ac:dyDescent="0.35">
      <c r="A8" s="36">
        <v>46093</v>
      </c>
      <c r="B8" s="41" t="s">
        <v>205</v>
      </c>
      <c r="D8" s="11" t="s">
        <v>206</v>
      </c>
      <c r="E8" s="37">
        <f t="shared" si="0"/>
        <v>2</v>
      </c>
      <c r="F8" s="7" t="s">
        <v>207</v>
      </c>
      <c r="G8" s="35">
        <v>1989650</v>
      </c>
      <c r="H8" s="9" t="s">
        <v>102</v>
      </c>
      <c r="I8" s="9" t="s">
        <v>175</v>
      </c>
      <c r="J8" s="9" t="s">
        <v>176</v>
      </c>
      <c r="K8" s="9" t="s">
        <v>103</v>
      </c>
      <c r="L8" s="9" t="s">
        <v>104</v>
      </c>
      <c r="N8" s="9" t="s">
        <v>208</v>
      </c>
      <c r="O8" s="9" t="s">
        <v>209</v>
      </c>
      <c r="P8" s="9" t="s">
        <v>210</v>
      </c>
      <c r="Q8" s="9" t="s">
        <v>211</v>
      </c>
      <c r="R8" s="9" t="s">
        <v>212</v>
      </c>
      <c r="S8" s="9" t="s">
        <v>200</v>
      </c>
      <c r="T8" s="5">
        <v>36</v>
      </c>
      <c r="V8" s="9" t="s">
        <v>213</v>
      </c>
      <c r="W8" s="9" t="str">
        <f t="shared" si="10"/>
        <v>22/04/2026</v>
      </c>
      <c r="X8" s="10">
        <f t="shared" ca="1" si="11"/>
        <v>46181</v>
      </c>
      <c r="Y8" s="31">
        <f t="shared" ca="1" si="12"/>
        <v>-47</v>
      </c>
      <c r="Z8" s="32" t="str">
        <f t="shared" ca="1" si="13"/>
        <v>Expira en menos de 7 días</v>
      </c>
      <c r="AA8" s="5">
        <v>30</v>
      </c>
      <c r="AC8" s="5">
        <v>70</v>
      </c>
      <c r="AD8" s="5">
        <f t="shared" si="14"/>
        <v>100</v>
      </c>
      <c r="AE8" s="5" t="s">
        <v>202</v>
      </c>
      <c r="AT8" s="7"/>
      <c r="AU8" s="7"/>
      <c r="AV8" s="7"/>
    </row>
    <row r="9" spans="1:56" ht="58" x14ac:dyDescent="0.35">
      <c r="A9" s="36">
        <v>46088</v>
      </c>
      <c r="B9" s="7" t="s">
        <v>214</v>
      </c>
      <c r="D9" s="11" t="s">
        <v>215</v>
      </c>
      <c r="E9" s="11">
        <f t="shared" si="0"/>
        <v>1</v>
      </c>
      <c r="F9" s="7" t="s">
        <v>216</v>
      </c>
      <c r="G9" s="35">
        <v>700000</v>
      </c>
      <c r="H9" s="9" t="s">
        <v>102</v>
      </c>
      <c r="I9" s="9" t="s">
        <v>175</v>
      </c>
      <c r="J9" s="9" t="s">
        <v>176</v>
      </c>
      <c r="K9" s="9" t="s">
        <v>103</v>
      </c>
      <c r="L9" s="9" t="s">
        <v>104</v>
      </c>
      <c r="N9" s="9" t="s">
        <v>208</v>
      </c>
      <c r="O9" s="9" t="s">
        <v>209</v>
      </c>
      <c r="P9" s="9" t="s">
        <v>217</v>
      </c>
      <c r="Q9" s="9" t="s">
        <v>218</v>
      </c>
      <c r="R9" s="9"/>
      <c r="S9" s="9" t="s">
        <v>200</v>
      </c>
      <c r="T9" s="5">
        <v>36</v>
      </c>
      <c r="V9" s="9" t="s">
        <v>219</v>
      </c>
      <c r="W9" s="9" t="str">
        <f t="shared" si="10"/>
        <v>06/04/2026</v>
      </c>
      <c r="X9" s="10">
        <f t="shared" ca="1" si="11"/>
        <v>46181</v>
      </c>
      <c r="Y9" s="31">
        <f t="shared" ca="1" si="12"/>
        <v>-63</v>
      </c>
      <c r="Z9" s="32" t="str">
        <f t="shared" ca="1" si="13"/>
        <v>Expira en menos de 7 días</v>
      </c>
      <c r="AA9" s="5">
        <v>84</v>
      </c>
      <c r="AB9" s="5">
        <v>16</v>
      </c>
      <c r="AD9" s="5">
        <f t="shared" si="14"/>
        <v>100</v>
      </c>
      <c r="AT9" s="7"/>
      <c r="AU9" s="7"/>
      <c r="AV9" s="7"/>
    </row>
    <row r="10" spans="1:56" ht="87" x14ac:dyDescent="0.35">
      <c r="A10" s="36">
        <v>46089</v>
      </c>
      <c r="B10" s="7" t="s">
        <v>220</v>
      </c>
      <c r="D10" s="11" t="s">
        <v>221</v>
      </c>
      <c r="E10" s="11">
        <f t="shared" si="0"/>
        <v>1</v>
      </c>
      <c r="F10" s="7" t="s">
        <v>222</v>
      </c>
      <c r="G10" s="35">
        <v>605362.65</v>
      </c>
      <c r="H10" s="9" t="s">
        <v>99</v>
      </c>
      <c r="I10" s="9" t="s">
        <v>175</v>
      </c>
      <c r="J10" s="9" t="s">
        <v>176</v>
      </c>
      <c r="K10" s="9" t="s">
        <v>100</v>
      </c>
      <c r="L10" s="9" t="s">
        <v>101</v>
      </c>
      <c r="N10" s="9" t="s">
        <v>223</v>
      </c>
      <c r="O10" s="9" t="s">
        <v>224</v>
      </c>
      <c r="P10" s="9" t="s">
        <v>225</v>
      </c>
      <c r="Q10" s="9" t="s">
        <v>199</v>
      </c>
      <c r="R10" s="9" t="s">
        <v>180</v>
      </c>
      <c r="S10" s="9" t="s">
        <v>200</v>
      </c>
      <c r="V10" s="9" t="s">
        <v>226</v>
      </c>
      <c r="W10" s="9" t="str">
        <f t="shared" si="10"/>
        <v>08/04/2026</v>
      </c>
      <c r="X10" s="10">
        <f t="shared" ca="1" si="11"/>
        <v>46181</v>
      </c>
      <c r="Y10" s="31">
        <f t="shared" ca="1" si="12"/>
        <v>-61</v>
      </c>
      <c r="Z10" s="32" t="str">
        <f t="shared" ca="1" si="13"/>
        <v>Expira en menos de 7 días</v>
      </c>
      <c r="AA10" s="5">
        <v>45</v>
      </c>
      <c r="AB10" s="5">
        <v>8</v>
      </c>
      <c r="AC10" s="5">
        <v>47</v>
      </c>
      <c r="AD10" s="5">
        <f t="shared" si="14"/>
        <v>100</v>
      </c>
      <c r="AT10" s="7"/>
      <c r="AU10" s="7"/>
      <c r="AV10" s="7"/>
    </row>
    <row r="11" spans="1:56" ht="43.5" x14ac:dyDescent="0.35">
      <c r="A11" s="36">
        <v>46091</v>
      </c>
      <c r="B11" s="7" t="s">
        <v>227</v>
      </c>
      <c r="D11" s="11" t="s">
        <v>228</v>
      </c>
      <c r="E11" s="11">
        <f t="shared" si="0"/>
        <v>1</v>
      </c>
      <c r="F11" s="7" t="s">
        <v>229</v>
      </c>
      <c r="G11" s="35">
        <v>3096959.98</v>
      </c>
      <c r="H11" s="9" t="s">
        <v>56</v>
      </c>
      <c r="I11" s="9" t="s">
        <v>175</v>
      </c>
      <c r="J11" s="9" t="s">
        <v>176</v>
      </c>
      <c r="K11" s="9" t="s">
        <v>57</v>
      </c>
      <c r="L11" s="9" t="s">
        <v>58</v>
      </c>
      <c r="N11" s="9" t="s">
        <v>196</v>
      </c>
      <c r="O11" s="9"/>
      <c r="P11" s="9" t="s">
        <v>230</v>
      </c>
      <c r="Q11" s="9" t="s">
        <v>218</v>
      </c>
      <c r="R11" s="9" t="s">
        <v>231</v>
      </c>
      <c r="S11" s="9" t="s">
        <v>200</v>
      </c>
      <c r="T11" s="5">
        <v>41</v>
      </c>
      <c r="V11" s="9" t="s">
        <v>232</v>
      </c>
      <c r="W11" s="9" t="str">
        <f t="shared" si="10"/>
        <v>08/04/2026</v>
      </c>
      <c r="X11" s="10">
        <f t="shared" ca="1" si="11"/>
        <v>46181</v>
      </c>
      <c r="Y11" s="31">
        <f t="shared" ca="1" si="12"/>
        <v>-61</v>
      </c>
      <c r="Z11" s="32" t="str">
        <f t="shared" ca="1" si="13"/>
        <v>Expira en menos de 7 días</v>
      </c>
      <c r="AA11" s="5">
        <v>75</v>
      </c>
      <c r="AB11" s="5">
        <v>15</v>
      </c>
      <c r="AC11" s="5">
        <v>10</v>
      </c>
      <c r="AD11" s="5">
        <f t="shared" si="14"/>
        <v>100</v>
      </c>
      <c r="AT11" s="7"/>
      <c r="AU11" s="7"/>
      <c r="AV11" s="7"/>
    </row>
    <row r="12" spans="1:56" ht="43.5" x14ac:dyDescent="0.35">
      <c r="A12" s="36">
        <v>46091</v>
      </c>
      <c r="B12" s="7" t="s">
        <v>233</v>
      </c>
      <c r="D12" s="11" t="s">
        <v>234</v>
      </c>
      <c r="E12" s="11">
        <f t="shared" si="0"/>
        <v>1</v>
      </c>
      <c r="F12" s="7" t="s">
        <v>235</v>
      </c>
      <c r="G12" s="35">
        <v>1136400</v>
      </c>
      <c r="H12" s="9" t="s">
        <v>48</v>
      </c>
      <c r="I12" s="9" t="s">
        <v>175</v>
      </c>
      <c r="J12" s="9" t="s">
        <v>176</v>
      </c>
      <c r="K12" s="9" t="s">
        <v>50</v>
      </c>
      <c r="L12" s="9" t="s">
        <v>51</v>
      </c>
      <c r="M12" s="9"/>
      <c r="N12" s="9" t="s">
        <v>236</v>
      </c>
      <c r="O12" s="9" t="s">
        <v>237</v>
      </c>
      <c r="P12" s="9" t="s">
        <v>238</v>
      </c>
      <c r="Q12" s="9" t="s">
        <v>239</v>
      </c>
      <c r="R12" s="9" t="s">
        <v>240</v>
      </c>
      <c r="S12" s="9" t="s">
        <v>200</v>
      </c>
      <c r="T12" s="5">
        <v>51</v>
      </c>
      <c r="V12" s="9" t="s">
        <v>241</v>
      </c>
      <c r="W12" s="9" t="str">
        <f t="shared" si="10"/>
        <v>07/04/2026</v>
      </c>
      <c r="X12" s="10">
        <f t="shared" ca="1" si="11"/>
        <v>46181</v>
      </c>
      <c r="Y12" s="31">
        <f t="shared" ca="1" si="12"/>
        <v>-62</v>
      </c>
      <c r="Z12" s="32" t="str">
        <f t="shared" ca="1" si="13"/>
        <v>Expira en menos de 7 días</v>
      </c>
      <c r="AA12" s="5">
        <v>60</v>
      </c>
      <c r="AB12" s="5">
        <v>40</v>
      </c>
      <c r="AD12" s="5">
        <f t="shared" si="14"/>
        <v>100</v>
      </c>
      <c r="AT12" s="7"/>
      <c r="AU12" s="7"/>
      <c r="AV12" s="7"/>
    </row>
    <row r="13" spans="1:56" ht="29" x14ac:dyDescent="0.35">
      <c r="A13" s="36">
        <v>46089</v>
      </c>
      <c r="B13" s="41" t="s">
        <v>242</v>
      </c>
      <c r="D13" s="11" t="s">
        <v>243</v>
      </c>
      <c r="E13" s="11">
        <f t="shared" si="0"/>
        <v>1</v>
      </c>
      <c r="F13" s="7" t="s">
        <v>244</v>
      </c>
      <c r="G13" s="35">
        <v>1316550</v>
      </c>
      <c r="H13" s="9" t="s">
        <v>48</v>
      </c>
      <c r="I13" s="9" t="s">
        <v>175</v>
      </c>
      <c r="J13" s="9" t="s">
        <v>176</v>
      </c>
      <c r="K13" s="9" t="s">
        <v>50</v>
      </c>
      <c r="L13" s="9" t="s">
        <v>51</v>
      </c>
      <c r="N13" s="9"/>
      <c r="O13" s="9"/>
      <c r="P13" s="9" t="s">
        <v>245</v>
      </c>
      <c r="Q13" s="9" t="s">
        <v>246</v>
      </c>
      <c r="R13" s="9"/>
      <c r="S13" s="9" t="s">
        <v>200</v>
      </c>
      <c r="T13" s="5">
        <v>48</v>
      </c>
      <c r="U13" s="5">
        <v>12</v>
      </c>
      <c r="V13" s="9" t="s">
        <v>247</v>
      </c>
      <c r="W13" s="9" t="str">
        <f t="shared" si="10"/>
        <v>23/04/2026</v>
      </c>
      <c r="X13" s="10">
        <f t="shared" ca="1" si="11"/>
        <v>46181</v>
      </c>
      <c r="Y13" s="31">
        <f t="shared" ca="1" si="12"/>
        <v>-46</v>
      </c>
      <c r="Z13" s="32" t="str">
        <f t="shared" ca="1" si="13"/>
        <v>Expira en menos de 7 días</v>
      </c>
      <c r="AA13" s="5">
        <v>70</v>
      </c>
      <c r="AC13" s="5">
        <v>30</v>
      </c>
      <c r="AD13" s="5">
        <f t="shared" si="14"/>
        <v>100</v>
      </c>
      <c r="AE13" s="5" t="s">
        <v>202</v>
      </c>
      <c r="AT13" s="7"/>
      <c r="AU13" s="7"/>
      <c r="AV13" s="7"/>
    </row>
    <row r="14" spans="1:56" ht="29" x14ac:dyDescent="0.35">
      <c r="A14" s="36">
        <v>46092</v>
      </c>
      <c r="B14" s="7" t="s">
        <v>248</v>
      </c>
      <c r="D14" s="11" t="s">
        <v>249</v>
      </c>
      <c r="E14" s="11">
        <f t="shared" si="0"/>
        <v>1</v>
      </c>
      <c r="F14" s="7" t="s">
        <v>250</v>
      </c>
      <c r="G14" s="35">
        <v>1878141.6</v>
      </c>
      <c r="H14" s="9" t="s">
        <v>116</v>
      </c>
      <c r="I14" s="9" t="s">
        <v>175</v>
      </c>
      <c r="J14" s="9" t="s">
        <v>176</v>
      </c>
      <c r="K14" s="9" t="s">
        <v>112</v>
      </c>
      <c r="L14" s="9" t="s">
        <v>117</v>
      </c>
      <c r="N14" s="9" t="s">
        <v>251</v>
      </c>
      <c r="O14" s="9" t="s">
        <v>252</v>
      </c>
      <c r="P14" s="9" t="s">
        <v>253</v>
      </c>
      <c r="Q14" s="9" t="s">
        <v>239</v>
      </c>
      <c r="R14" s="9" t="s">
        <v>240</v>
      </c>
      <c r="S14" s="9" t="s">
        <v>200</v>
      </c>
      <c r="T14" s="5">
        <v>36</v>
      </c>
      <c r="U14" s="5">
        <v>24</v>
      </c>
      <c r="V14" s="9" t="s">
        <v>254</v>
      </c>
      <c r="W14" s="9" t="str">
        <f t="shared" si="10"/>
        <v>09/04/2026</v>
      </c>
      <c r="X14" s="10">
        <f t="shared" ca="1" si="11"/>
        <v>46181</v>
      </c>
      <c r="Y14" s="31">
        <f t="shared" ca="1" si="12"/>
        <v>-60</v>
      </c>
      <c r="Z14" s="32" t="str">
        <f t="shared" ca="1" si="13"/>
        <v>Expira en menos de 7 días</v>
      </c>
      <c r="AA14" s="5">
        <v>55</v>
      </c>
      <c r="AB14" s="5">
        <v>45</v>
      </c>
      <c r="AD14" s="5">
        <f t="shared" si="14"/>
        <v>100</v>
      </c>
      <c r="AT14" s="7"/>
      <c r="AU14" s="7"/>
      <c r="AV14" s="7"/>
    </row>
    <row r="15" spans="1:56" ht="29" x14ac:dyDescent="0.35">
      <c r="A15" s="36">
        <v>46068</v>
      </c>
      <c r="B15" s="7" t="s">
        <v>255</v>
      </c>
      <c r="C15" s="7" t="s">
        <v>256</v>
      </c>
      <c r="D15" s="11" t="s">
        <v>257</v>
      </c>
      <c r="E15" s="11">
        <f t="shared" si="0"/>
        <v>1</v>
      </c>
      <c r="F15" s="5" t="s">
        <v>258</v>
      </c>
      <c r="G15" s="35">
        <v>1266005.49</v>
      </c>
      <c r="H15" s="9" t="s">
        <v>99</v>
      </c>
      <c r="I15" s="9" t="s">
        <v>175</v>
      </c>
      <c r="J15" s="9" t="s">
        <v>176</v>
      </c>
      <c r="K15" s="9" t="s">
        <v>100</v>
      </c>
      <c r="L15" s="9" t="s">
        <v>101</v>
      </c>
      <c r="N15" s="9" t="s">
        <v>208</v>
      </c>
      <c r="O15" s="9" t="s">
        <v>209</v>
      </c>
      <c r="P15" s="9" t="s">
        <v>259</v>
      </c>
      <c r="Q15" s="9" t="s">
        <v>211</v>
      </c>
      <c r="R15" s="9" t="s">
        <v>212</v>
      </c>
      <c r="S15" s="9" t="s">
        <v>200</v>
      </c>
      <c r="T15" s="5">
        <v>36</v>
      </c>
      <c r="U15" s="5">
        <v>24</v>
      </c>
      <c r="V15" s="9" t="s">
        <v>260</v>
      </c>
      <c r="W15" s="9" t="str">
        <f t="shared" si="10"/>
        <v>23/03/2026</v>
      </c>
      <c r="X15" s="10">
        <f t="shared" ca="1" si="11"/>
        <v>46181</v>
      </c>
      <c r="Y15" s="31">
        <f t="shared" ca="1" si="12"/>
        <v>-77</v>
      </c>
      <c r="Z15" s="32" t="str">
        <f t="shared" ca="1" si="13"/>
        <v>Expira en menos de 7 días</v>
      </c>
      <c r="AA15" s="5">
        <v>49</v>
      </c>
      <c r="AC15" s="5">
        <v>51</v>
      </c>
      <c r="AD15" s="5">
        <f t="shared" si="14"/>
        <v>100</v>
      </c>
      <c r="AT15" s="7"/>
      <c r="AU15" s="7"/>
      <c r="AV15" s="7"/>
    </row>
    <row r="16" spans="1:56" ht="43.5" x14ac:dyDescent="0.35">
      <c r="A16" s="36">
        <v>46093</v>
      </c>
      <c r="B16" s="41" t="s">
        <v>261</v>
      </c>
      <c r="D16" s="11" t="s">
        <v>262</v>
      </c>
      <c r="E16" s="37">
        <f t="shared" si="0"/>
        <v>2</v>
      </c>
      <c r="F16" s="7" t="s">
        <v>263</v>
      </c>
      <c r="G16" s="35">
        <v>1890000</v>
      </c>
      <c r="H16" s="9" t="s">
        <v>56</v>
      </c>
      <c r="I16" s="9" t="s">
        <v>175</v>
      </c>
      <c r="J16" s="9" t="s">
        <v>176</v>
      </c>
      <c r="K16" s="9" t="s">
        <v>57</v>
      </c>
      <c r="L16" s="9" t="s">
        <v>58</v>
      </c>
      <c r="N16" s="9" t="s">
        <v>264</v>
      </c>
      <c r="O16" s="9" t="s">
        <v>265</v>
      </c>
      <c r="P16" s="9" t="s">
        <v>266</v>
      </c>
      <c r="Q16" s="9" t="s">
        <v>211</v>
      </c>
      <c r="R16" s="9" t="s">
        <v>212</v>
      </c>
      <c r="S16" s="9" t="s">
        <v>267</v>
      </c>
      <c r="T16" s="5">
        <v>36</v>
      </c>
      <c r="V16" s="9" t="s">
        <v>268</v>
      </c>
      <c r="W16" s="9" t="str">
        <f t="shared" si="10"/>
        <v>24/04/2026</v>
      </c>
      <c r="X16" s="10">
        <f t="shared" ca="1" si="11"/>
        <v>46181</v>
      </c>
      <c r="Y16" s="31">
        <f t="shared" ca="1" si="12"/>
        <v>-45</v>
      </c>
      <c r="Z16" s="32" t="str">
        <f t="shared" ca="1" si="13"/>
        <v>Expira en menos de 7 días</v>
      </c>
      <c r="AA16" s="5">
        <v>40</v>
      </c>
      <c r="AC16" s="5">
        <v>60</v>
      </c>
      <c r="AD16" s="5">
        <f t="shared" si="14"/>
        <v>100</v>
      </c>
      <c r="AE16" s="5" t="s">
        <v>202</v>
      </c>
      <c r="AT16" s="7"/>
      <c r="AU16" s="7"/>
      <c r="AV16" s="7"/>
    </row>
    <row r="17" spans="1:48" ht="43.5" x14ac:dyDescent="0.35">
      <c r="A17" s="36">
        <v>46093</v>
      </c>
      <c r="B17" s="41" t="s">
        <v>261</v>
      </c>
      <c r="C17" s="7" t="s">
        <v>269</v>
      </c>
      <c r="D17" s="11" t="s">
        <v>262</v>
      </c>
      <c r="E17" s="37">
        <f t="shared" si="0"/>
        <v>2</v>
      </c>
      <c r="F17" s="7" t="s">
        <v>263</v>
      </c>
      <c r="G17" s="35">
        <v>1890000</v>
      </c>
      <c r="H17" s="9" t="s">
        <v>56</v>
      </c>
      <c r="I17" s="9" t="s">
        <v>175</v>
      </c>
      <c r="J17" s="9" t="s">
        <v>176</v>
      </c>
      <c r="K17" s="9" t="s">
        <v>57</v>
      </c>
      <c r="L17" s="9" t="s">
        <v>58</v>
      </c>
      <c r="N17" s="9" t="s">
        <v>264</v>
      </c>
      <c r="O17" s="9" t="s">
        <v>265</v>
      </c>
      <c r="P17" s="9" t="s">
        <v>266</v>
      </c>
      <c r="Q17" s="9" t="s">
        <v>211</v>
      </c>
      <c r="R17" s="9" t="s">
        <v>212</v>
      </c>
      <c r="S17" s="9" t="s">
        <v>267</v>
      </c>
      <c r="T17" s="5">
        <v>48</v>
      </c>
      <c r="V17" s="9" t="s">
        <v>270</v>
      </c>
      <c r="W17" s="9" t="str">
        <f t="shared" si="10"/>
        <v>24/04/2026</v>
      </c>
      <c r="X17" s="10">
        <f t="shared" ca="1" si="11"/>
        <v>46181</v>
      </c>
      <c r="Y17" s="31">
        <f t="shared" ca="1" si="12"/>
        <v>-45</v>
      </c>
      <c r="Z17" s="32" t="str">
        <f t="shared" ca="1" si="13"/>
        <v>Expira en menos de 7 días</v>
      </c>
      <c r="AA17" s="5">
        <v>40</v>
      </c>
      <c r="AC17" s="5">
        <v>60</v>
      </c>
      <c r="AD17" s="5">
        <f t="shared" si="14"/>
        <v>100</v>
      </c>
      <c r="AE17" s="5" t="s">
        <v>202</v>
      </c>
      <c r="AT17" s="7"/>
      <c r="AU17" s="7"/>
      <c r="AV17" s="7"/>
    </row>
    <row r="18" spans="1:48" ht="58" x14ac:dyDescent="0.35">
      <c r="A18" s="36">
        <v>46093</v>
      </c>
      <c r="B18" s="7" t="s">
        <v>271</v>
      </c>
      <c r="D18" s="11" t="s">
        <v>272</v>
      </c>
      <c r="E18" s="37">
        <f t="shared" si="0"/>
        <v>2</v>
      </c>
      <c r="F18" s="7" t="s">
        <v>273</v>
      </c>
      <c r="G18" s="35">
        <v>1075889.3799999999</v>
      </c>
      <c r="H18" s="9" t="s">
        <v>85</v>
      </c>
      <c r="I18" s="9" t="s">
        <v>175</v>
      </c>
      <c r="J18" s="9" t="s">
        <v>176</v>
      </c>
      <c r="K18" s="9" t="s">
        <v>83</v>
      </c>
      <c r="L18" s="9" t="s">
        <v>86</v>
      </c>
      <c r="N18" s="9" t="s">
        <v>223</v>
      </c>
      <c r="O18" s="9"/>
      <c r="P18" s="9" t="s">
        <v>274</v>
      </c>
      <c r="Q18" s="9" t="s">
        <v>275</v>
      </c>
      <c r="R18" s="9" t="s">
        <v>180</v>
      </c>
      <c r="S18" s="9" t="s">
        <v>200</v>
      </c>
      <c r="T18" s="5">
        <v>24</v>
      </c>
      <c r="U18" s="5">
        <v>24</v>
      </c>
      <c r="V18" s="9" t="s">
        <v>276</v>
      </c>
      <c r="W18" s="9" t="str">
        <f t="shared" si="10"/>
        <v>10/04/2026</v>
      </c>
      <c r="X18" s="10">
        <f t="shared" ca="1" si="11"/>
        <v>46181</v>
      </c>
      <c r="Y18" s="31">
        <f t="shared" ca="1" si="12"/>
        <v>-59</v>
      </c>
      <c r="Z18" s="32" t="str">
        <f t="shared" ca="1" si="13"/>
        <v>Expira en menos de 7 días</v>
      </c>
      <c r="AA18" s="5">
        <v>65</v>
      </c>
      <c r="AC18" s="5">
        <v>35</v>
      </c>
      <c r="AD18" s="5">
        <f t="shared" si="14"/>
        <v>100</v>
      </c>
      <c r="AT18" s="7"/>
      <c r="AU18" s="7"/>
      <c r="AV18" s="7"/>
    </row>
    <row r="19" spans="1:48" ht="58" x14ac:dyDescent="0.35">
      <c r="A19" s="36">
        <v>46101</v>
      </c>
      <c r="B19" s="41" t="s">
        <v>277</v>
      </c>
      <c r="D19" s="11" t="s">
        <v>278</v>
      </c>
      <c r="E19" s="11">
        <f t="shared" si="0"/>
        <v>1</v>
      </c>
      <c r="F19" s="7" t="s">
        <v>279</v>
      </c>
      <c r="G19" s="38">
        <v>2565500</v>
      </c>
      <c r="H19" s="9" t="s">
        <v>95</v>
      </c>
      <c r="I19" s="9" t="s">
        <v>175</v>
      </c>
      <c r="J19" s="9" t="s">
        <v>176</v>
      </c>
      <c r="K19" s="9" t="s">
        <v>83</v>
      </c>
      <c r="L19" s="9" t="s">
        <v>96</v>
      </c>
      <c r="N19" s="9" t="s">
        <v>280</v>
      </c>
      <c r="O19" s="9" t="s">
        <v>281</v>
      </c>
      <c r="P19" s="9" t="s">
        <v>282</v>
      </c>
      <c r="Q19" s="9" t="s">
        <v>239</v>
      </c>
      <c r="R19" s="9" t="s">
        <v>240</v>
      </c>
      <c r="S19" s="9" t="s">
        <v>200</v>
      </c>
      <c r="V19" s="9" t="s">
        <v>283</v>
      </c>
      <c r="W19" s="9" t="str">
        <f t="shared" si="10"/>
        <v>24/04/2026</v>
      </c>
      <c r="X19" s="10">
        <f t="shared" ca="1" si="11"/>
        <v>46181</v>
      </c>
      <c r="Y19" s="31">
        <f t="shared" ca="1" si="12"/>
        <v>-45</v>
      </c>
      <c r="Z19" s="32" t="str">
        <f t="shared" ca="1" si="13"/>
        <v>Expira en menos de 7 días</v>
      </c>
      <c r="AA19" s="5">
        <v>100</v>
      </c>
      <c r="AD19" s="5">
        <f t="shared" si="14"/>
        <v>100</v>
      </c>
      <c r="AE19" s="5" t="s">
        <v>202</v>
      </c>
      <c r="AT19" s="7"/>
      <c r="AU19" s="7"/>
      <c r="AV19" s="7"/>
    </row>
    <row r="20" spans="1:48" x14ac:dyDescent="0.35">
      <c r="A20" s="36">
        <v>46107</v>
      </c>
      <c r="B20" s="41" t="s">
        <v>284</v>
      </c>
      <c r="D20" s="11" t="s">
        <v>285</v>
      </c>
      <c r="E20" s="11">
        <f t="shared" si="0"/>
        <v>1</v>
      </c>
      <c r="F20" s="7" t="s">
        <v>286</v>
      </c>
      <c r="G20" s="35">
        <v>1200200.1599999999</v>
      </c>
      <c r="H20" s="9" t="s">
        <v>82</v>
      </c>
      <c r="I20" s="9" t="s">
        <v>175</v>
      </c>
      <c r="J20" s="9" t="s">
        <v>176</v>
      </c>
      <c r="K20" s="9" t="s">
        <v>83</v>
      </c>
      <c r="L20" s="9" t="s">
        <v>84</v>
      </c>
      <c r="N20" s="9" t="s">
        <v>223</v>
      </c>
      <c r="O20" s="9"/>
      <c r="P20" s="9" t="s">
        <v>284</v>
      </c>
      <c r="Q20" s="9" t="s">
        <v>287</v>
      </c>
      <c r="R20" s="9"/>
      <c r="S20" s="9" t="s">
        <v>200</v>
      </c>
      <c r="T20" s="5">
        <v>12</v>
      </c>
      <c r="V20" s="9" t="s">
        <v>288</v>
      </c>
      <c r="W20" s="9" t="str">
        <f t="shared" si="10"/>
        <v>24/04/2026</v>
      </c>
      <c r="X20" s="10">
        <f t="shared" ca="1" si="11"/>
        <v>46181</v>
      </c>
      <c r="Y20" s="31">
        <f t="shared" ca="1" si="12"/>
        <v>-45</v>
      </c>
      <c r="Z20" s="32" t="str">
        <f t="shared" ca="1" si="13"/>
        <v>Expira en menos de 7 días</v>
      </c>
      <c r="AA20" s="5">
        <v>40</v>
      </c>
      <c r="AB20" s="5">
        <v>60</v>
      </c>
      <c r="AD20" s="5">
        <f t="shared" si="14"/>
        <v>100</v>
      </c>
      <c r="AE20" s="5" t="s">
        <v>202</v>
      </c>
      <c r="AT20" s="7"/>
      <c r="AU20" s="7"/>
      <c r="AV20" s="7"/>
    </row>
    <row r="21" spans="1:48" ht="43.5" x14ac:dyDescent="0.35">
      <c r="A21" s="36">
        <v>46106</v>
      </c>
      <c r="B21" s="41" t="s">
        <v>289</v>
      </c>
      <c r="D21" s="11" t="s">
        <v>290</v>
      </c>
      <c r="E21" s="11">
        <f t="shared" si="0"/>
        <v>1</v>
      </c>
      <c r="F21" s="7" t="s">
        <v>291</v>
      </c>
      <c r="G21" s="35">
        <v>3600000</v>
      </c>
      <c r="H21" s="9" t="s">
        <v>48</v>
      </c>
      <c r="I21" s="9" t="s">
        <v>175</v>
      </c>
      <c r="J21" s="9" t="s">
        <v>176</v>
      </c>
      <c r="K21" s="9" t="s">
        <v>50</v>
      </c>
      <c r="L21" s="9" t="s">
        <v>51</v>
      </c>
      <c r="N21" s="9" t="s">
        <v>223</v>
      </c>
      <c r="O21" s="9" t="s">
        <v>292</v>
      </c>
      <c r="P21" s="9" t="s">
        <v>274</v>
      </c>
      <c r="Q21" s="9" t="s">
        <v>275</v>
      </c>
      <c r="R21" s="9" t="s">
        <v>180</v>
      </c>
      <c r="S21" s="9" t="s">
        <v>200</v>
      </c>
      <c r="T21" s="5">
        <v>60</v>
      </c>
      <c r="V21" s="9" t="s">
        <v>293</v>
      </c>
      <c r="W21" s="9" t="str">
        <f t="shared" si="10"/>
        <v>27/04/2026</v>
      </c>
      <c r="X21" s="10">
        <f t="shared" ca="1" si="11"/>
        <v>46181</v>
      </c>
      <c r="Y21" s="31">
        <f t="shared" ca="1" si="12"/>
        <v>-42</v>
      </c>
      <c r="Z21" s="32" t="str">
        <f t="shared" ca="1" si="13"/>
        <v>Expira en menos de 7 días</v>
      </c>
      <c r="AA21" s="5">
        <v>100</v>
      </c>
      <c r="AD21" s="5">
        <f t="shared" si="14"/>
        <v>100</v>
      </c>
      <c r="AE21" s="5" t="s">
        <v>202</v>
      </c>
      <c r="AT21" s="7"/>
      <c r="AU21" s="7"/>
      <c r="AV21" s="7"/>
    </row>
    <row r="22" spans="1:48" ht="43.5" x14ac:dyDescent="0.35">
      <c r="A22" s="36">
        <v>46072</v>
      </c>
      <c r="B22" s="7" t="s">
        <v>294</v>
      </c>
      <c r="D22" s="11" t="s">
        <v>295</v>
      </c>
      <c r="E22" s="11">
        <f t="shared" si="0"/>
        <v>1</v>
      </c>
      <c r="F22" s="7" t="s">
        <v>296</v>
      </c>
      <c r="G22" s="35">
        <v>5555290</v>
      </c>
      <c r="H22" s="9" t="s">
        <v>56</v>
      </c>
      <c r="I22" s="9" t="s">
        <v>175</v>
      </c>
      <c r="J22" s="9" t="s">
        <v>176</v>
      </c>
      <c r="K22" s="9" t="s">
        <v>57</v>
      </c>
      <c r="L22" s="9" t="s">
        <v>58</v>
      </c>
      <c r="N22" s="9" t="s">
        <v>264</v>
      </c>
      <c r="O22" s="9" t="s">
        <v>265</v>
      </c>
      <c r="P22" s="9" t="s">
        <v>297</v>
      </c>
      <c r="Q22" s="9" t="s">
        <v>298</v>
      </c>
      <c r="R22" s="9"/>
      <c r="S22" s="9" t="s">
        <v>200</v>
      </c>
      <c r="V22" s="9" t="s">
        <v>299</v>
      </c>
      <c r="W22" s="9" t="str">
        <f t="shared" si="10"/>
        <v>01/04/2026</v>
      </c>
      <c r="X22" s="10">
        <f t="shared" ca="1" si="11"/>
        <v>46181</v>
      </c>
      <c r="Y22" s="31">
        <f t="shared" ca="1" si="12"/>
        <v>-68</v>
      </c>
      <c r="Z22" s="32" t="str">
        <f t="shared" ca="1" si="13"/>
        <v>Expira en menos de 7 días</v>
      </c>
      <c r="AA22" s="5">
        <v>50</v>
      </c>
      <c r="AB22" s="5">
        <v>10</v>
      </c>
      <c r="AC22" s="5">
        <v>40</v>
      </c>
      <c r="AD22" s="5">
        <f t="shared" si="14"/>
        <v>100</v>
      </c>
      <c r="AT22" s="7"/>
      <c r="AU22" s="7"/>
      <c r="AV22" s="7"/>
    </row>
    <row r="23" spans="1:48" ht="58" x14ac:dyDescent="0.35">
      <c r="A23" s="36">
        <v>46112</v>
      </c>
      <c r="B23" s="41" t="s">
        <v>300</v>
      </c>
      <c r="D23" s="11" t="s">
        <v>301</v>
      </c>
      <c r="E23" s="11">
        <f t="shared" si="0"/>
        <v>1</v>
      </c>
      <c r="F23" s="7" t="s">
        <v>302</v>
      </c>
      <c r="G23" s="35">
        <v>1996288</v>
      </c>
      <c r="H23" s="9" t="s">
        <v>48</v>
      </c>
      <c r="I23" s="9" t="s">
        <v>175</v>
      </c>
      <c r="J23" s="9" t="s">
        <v>176</v>
      </c>
      <c r="K23" s="9" t="s">
        <v>50</v>
      </c>
      <c r="L23" s="9" t="s">
        <v>51</v>
      </c>
      <c r="N23" s="9" t="s">
        <v>236</v>
      </c>
      <c r="O23" s="9" t="s">
        <v>303</v>
      </c>
      <c r="P23" s="9" t="s">
        <v>238</v>
      </c>
      <c r="Q23" s="9" t="s">
        <v>239</v>
      </c>
      <c r="R23" s="9" t="s">
        <v>240</v>
      </c>
      <c r="S23" s="9" t="s">
        <v>200</v>
      </c>
      <c r="T23" s="5">
        <v>24</v>
      </c>
      <c r="U23" s="5">
        <v>24</v>
      </c>
      <c r="V23" s="9" t="s">
        <v>304</v>
      </c>
      <c r="W23" s="9" t="str">
        <f t="shared" si="10"/>
        <v>27/04/2026</v>
      </c>
      <c r="X23" s="10">
        <f t="shared" ca="1" si="11"/>
        <v>46181</v>
      </c>
      <c r="Y23" s="31">
        <f t="shared" ca="1" si="12"/>
        <v>-42</v>
      </c>
      <c r="Z23" s="32" t="str">
        <f t="shared" ca="1" si="13"/>
        <v>Expira en menos de 7 días</v>
      </c>
      <c r="AA23" s="5">
        <v>40</v>
      </c>
      <c r="AB23" s="5">
        <v>10</v>
      </c>
      <c r="AC23" s="5">
        <v>50</v>
      </c>
      <c r="AD23" s="5">
        <f t="shared" si="14"/>
        <v>100</v>
      </c>
      <c r="AE23" s="5" t="s">
        <v>202</v>
      </c>
      <c r="AT23" s="7"/>
      <c r="AU23" s="7"/>
      <c r="AV23" s="7"/>
    </row>
    <row r="24" spans="1:48" ht="43.5" x14ac:dyDescent="0.35">
      <c r="A24" s="36">
        <v>46105</v>
      </c>
      <c r="B24" s="41" t="s">
        <v>305</v>
      </c>
      <c r="D24" s="11" t="s">
        <v>306</v>
      </c>
      <c r="E24" s="11">
        <f t="shared" si="0"/>
        <v>1</v>
      </c>
      <c r="F24" s="7" t="s">
        <v>307</v>
      </c>
      <c r="G24" s="35">
        <v>9891360</v>
      </c>
      <c r="H24" s="9" t="s">
        <v>56</v>
      </c>
      <c r="I24" s="9" t="s">
        <v>175</v>
      </c>
      <c r="J24" s="9" t="s">
        <v>176</v>
      </c>
      <c r="K24" s="9" t="s">
        <v>57</v>
      </c>
      <c r="L24" s="9" t="s">
        <v>58</v>
      </c>
      <c r="N24" s="9" t="s">
        <v>208</v>
      </c>
      <c r="O24" s="9"/>
      <c r="P24" s="9" t="s">
        <v>308</v>
      </c>
      <c r="Q24" s="9" t="s">
        <v>309</v>
      </c>
      <c r="R24" s="9" t="s">
        <v>180</v>
      </c>
      <c r="S24" s="9" t="s">
        <v>200</v>
      </c>
      <c r="T24" s="5">
        <v>60</v>
      </c>
      <c r="V24" s="9" t="s">
        <v>310</v>
      </c>
      <c r="W24" s="9" t="str">
        <f t="shared" si="10"/>
        <v>08/05/2026</v>
      </c>
      <c r="X24" s="10">
        <f t="shared" ca="1" si="11"/>
        <v>46181</v>
      </c>
      <c r="Y24" s="31">
        <f t="shared" ca="1" si="12"/>
        <v>-31</v>
      </c>
      <c r="Z24" s="32" t="str">
        <f t="shared" ca="1" si="13"/>
        <v>Expira en menos de 7 días</v>
      </c>
      <c r="AA24" s="5">
        <v>53</v>
      </c>
      <c r="AB24" s="5">
        <v>47</v>
      </c>
      <c r="AD24" s="5">
        <f t="shared" si="14"/>
        <v>100</v>
      </c>
      <c r="AE24" s="5" t="s">
        <v>202</v>
      </c>
      <c r="AF24" s="5" t="s">
        <v>203</v>
      </c>
      <c r="AT24" s="7"/>
      <c r="AU24" s="7"/>
      <c r="AV24" s="7"/>
    </row>
    <row r="25" spans="1:48" ht="145" x14ac:dyDescent="0.35">
      <c r="A25" s="36">
        <v>46112</v>
      </c>
      <c r="B25" s="41" t="s">
        <v>311</v>
      </c>
      <c r="D25" s="11" t="s">
        <v>312</v>
      </c>
      <c r="E25" s="11">
        <f t="shared" si="0"/>
        <v>1</v>
      </c>
      <c r="F25" s="7" t="s">
        <v>313</v>
      </c>
      <c r="G25" s="35">
        <v>3000000</v>
      </c>
      <c r="H25" s="9" t="s">
        <v>82</v>
      </c>
      <c r="I25" s="9" t="s">
        <v>175</v>
      </c>
      <c r="J25" s="9" t="s">
        <v>176</v>
      </c>
      <c r="K25" s="9" t="s">
        <v>83</v>
      </c>
      <c r="L25" s="9" t="s">
        <v>84</v>
      </c>
      <c r="N25" s="9"/>
      <c r="O25" s="9"/>
      <c r="P25" s="9" t="s">
        <v>314</v>
      </c>
      <c r="Q25" s="9" t="s">
        <v>199</v>
      </c>
      <c r="R25" s="9" t="s">
        <v>180</v>
      </c>
      <c r="S25" s="9" t="s">
        <v>181</v>
      </c>
      <c r="V25" s="9" t="s">
        <v>315</v>
      </c>
      <c r="W25" s="9" t="str">
        <f t="shared" si="10"/>
        <v>29/04/2030</v>
      </c>
      <c r="X25" s="10">
        <f t="shared" ca="1" si="11"/>
        <v>46181</v>
      </c>
      <c r="Y25" s="31">
        <f t="shared" ca="1" si="12"/>
        <v>1421</v>
      </c>
      <c r="Z25" s="32" t="str">
        <f t="shared" ca="1" si="13"/>
        <v>En plazo de presentación</v>
      </c>
      <c r="AA25" s="5">
        <v>100</v>
      </c>
      <c r="AD25" s="5">
        <f t="shared" si="14"/>
        <v>100</v>
      </c>
      <c r="AE25" s="5" t="s">
        <v>316</v>
      </c>
      <c r="AT25" s="7"/>
      <c r="AU25" s="7"/>
      <c r="AV25" s="7"/>
    </row>
    <row r="26" spans="1:48" ht="29" x14ac:dyDescent="0.35">
      <c r="A26" s="36">
        <v>46098</v>
      </c>
      <c r="B26" s="40" t="s">
        <v>317</v>
      </c>
      <c r="D26" s="11" t="s">
        <v>318</v>
      </c>
      <c r="E26" s="11">
        <f t="shared" si="0"/>
        <v>1</v>
      </c>
      <c r="F26" s="7" t="s">
        <v>286</v>
      </c>
      <c r="G26" s="35">
        <v>17057825.079999998</v>
      </c>
      <c r="H26" s="9" t="s">
        <v>87</v>
      </c>
      <c r="I26" s="9" t="s">
        <v>175</v>
      </c>
      <c r="J26" s="9" t="s">
        <v>176</v>
      </c>
      <c r="K26" s="9" t="s">
        <v>83</v>
      </c>
      <c r="L26" s="9" t="s">
        <v>88</v>
      </c>
      <c r="N26" s="9" t="s">
        <v>223</v>
      </c>
      <c r="O26" s="9" t="s">
        <v>292</v>
      </c>
      <c r="P26" s="9" t="s">
        <v>274</v>
      </c>
      <c r="Q26" s="9" t="s">
        <v>275</v>
      </c>
      <c r="R26" s="9" t="s">
        <v>180</v>
      </c>
      <c r="S26" s="9" t="s">
        <v>200</v>
      </c>
      <c r="T26" s="5">
        <v>12</v>
      </c>
      <c r="V26" s="9" t="s">
        <v>319</v>
      </c>
      <c r="W26" s="9" t="str">
        <f t="shared" si="10"/>
        <v>17/04/2026</v>
      </c>
      <c r="X26" s="10">
        <f t="shared" ca="1" si="11"/>
        <v>46181</v>
      </c>
      <c r="Y26" s="31">
        <f t="shared" ca="1" si="12"/>
        <v>-52</v>
      </c>
      <c r="Z26" s="32" t="str">
        <f t="shared" ca="1" si="13"/>
        <v>Expira en menos de 7 días</v>
      </c>
      <c r="AA26" s="5">
        <v>75</v>
      </c>
      <c r="AC26" s="5">
        <v>25</v>
      </c>
      <c r="AD26" s="5">
        <f t="shared" si="14"/>
        <v>100</v>
      </c>
      <c r="AT26" s="7"/>
      <c r="AU26" s="7"/>
      <c r="AV26" s="7"/>
    </row>
    <row r="27" spans="1:48" ht="43.5" x14ac:dyDescent="0.35">
      <c r="A27" s="36">
        <v>46098</v>
      </c>
      <c r="B27" s="40" t="s">
        <v>320</v>
      </c>
      <c r="D27" s="11" t="s">
        <v>321</v>
      </c>
      <c r="E27" s="11">
        <f t="shared" si="0"/>
        <v>1</v>
      </c>
      <c r="F27" s="7" t="s">
        <v>322</v>
      </c>
      <c r="G27" s="35">
        <v>9510909.6600000001</v>
      </c>
      <c r="H27" s="9" t="s">
        <v>82</v>
      </c>
      <c r="I27" s="9" t="s">
        <v>175</v>
      </c>
      <c r="J27" s="9" t="s">
        <v>176</v>
      </c>
      <c r="K27" s="9" t="s">
        <v>83</v>
      </c>
      <c r="L27" s="9" t="s">
        <v>84</v>
      </c>
      <c r="N27" s="9" t="s">
        <v>223</v>
      </c>
      <c r="O27" s="9" t="s">
        <v>292</v>
      </c>
      <c r="P27" s="9" t="s">
        <v>274</v>
      </c>
      <c r="Q27" s="9" t="s">
        <v>275</v>
      </c>
      <c r="R27" s="9" t="s">
        <v>180</v>
      </c>
      <c r="S27" s="9" t="s">
        <v>200</v>
      </c>
      <c r="T27" s="5">
        <v>12</v>
      </c>
      <c r="V27" s="9" t="s">
        <v>319</v>
      </c>
      <c r="W27" s="9" t="str">
        <f t="shared" si="10"/>
        <v>17/04/2026</v>
      </c>
      <c r="X27" s="10">
        <f t="shared" ca="1" si="11"/>
        <v>46181</v>
      </c>
      <c r="Y27" s="31">
        <f t="shared" ca="1" si="12"/>
        <v>-52</v>
      </c>
      <c r="Z27" s="32" t="str">
        <f t="shared" ca="1" si="13"/>
        <v>Expira en menos de 7 días</v>
      </c>
      <c r="AA27" s="5">
        <v>65</v>
      </c>
      <c r="AC27" s="5">
        <v>35</v>
      </c>
      <c r="AD27" s="5">
        <f t="shared" si="14"/>
        <v>100</v>
      </c>
      <c r="AT27" s="7"/>
      <c r="AU27" s="7"/>
      <c r="AV27" s="7"/>
    </row>
    <row r="28" spans="1:48" ht="58" x14ac:dyDescent="0.35">
      <c r="A28" s="36">
        <v>46093</v>
      </c>
      <c r="B28" s="40" t="s">
        <v>271</v>
      </c>
      <c r="C28" s="7" t="s">
        <v>269</v>
      </c>
      <c r="D28" s="11" t="s">
        <v>272</v>
      </c>
      <c r="E28" s="37">
        <f t="shared" si="0"/>
        <v>2</v>
      </c>
      <c r="F28" s="7" t="s">
        <v>273</v>
      </c>
      <c r="G28" s="35">
        <v>1075889.3799999999</v>
      </c>
      <c r="H28" s="9" t="s">
        <v>85</v>
      </c>
      <c r="I28" s="9" t="s">
        <v>175</v>
      </c>
      <c r="J28" s="9" t="s">
        <v>176</v>
      </c>
      <c r="K28" s="9" t="s">
        <v>83</v>
      </c>
      <c r="L28" s="9" t="s">
        <v>86</v>
      </c>
      <c r="N28" s="9" t="s">
        <v>223</v>
      </c>
      <c r="O28" s="9"/>
      <c r="P28" s="9" t="s">
        <v>274</v>
      </c>
      <c r="Q28" s="9" t="s">
        <v>275</v>
      </c>
      <c r="R28" s="9" t="s">
        <v>180</v>
      </c>
      <c r="S28" s="9" t="s">
        <v>200</v>
      </c>
      <c r="T28" s="5">
        <v>24</v>
      </c>
      <c r="U28" s="5">
        <v>24</v>
      </c>
      <c r="V28" s="9" t="s">
        <v>319</v>
      </c>
      <c r="W28" s="9" t="str">
        <f t="shared" si="10"/>
        <v>17/04/2026</v>
      </c>
      <c r="X28" s="10">
        <f t="shared" ca="1" si="11"/>
        <v>46181</v>
      </c>
      <c r="Y28" s="31">
        <f t="shared" ca="1" si="12"/>
        <v>-52</v>
      </c>
      <c r="Z28" s="32" t="str">
        <f t="shared" ca="1" si="13"/>
        <v>Expira en menos de 7 días</v>
      </c>
      <c r="AA28" s="5">
        <v>65</v>
      </c>
      <c r="AC28" s="5">
        <v>35</v>
      </c>
      <c r="AD28" s="5">
        <f t="shared" si="14"/>
        <v>100</v>
      </c>
      <c r="AT28" s="7"/>
      <c r="AU28" s="7"/>
      <c r="AV28" s="7"/>
    </row>
    <row r="29" spans="1:48" ht="29" x14ac:dyDescent="0.35">
      <c r="A29" s="36">
        <v>46093</v>
      </c>
      <c r="B29" s="40" t="s">
        <v>205</v>
      </c>
      <c r="C29" s="7" t="s">
        <v>269</v>
      </c>
      <c r="D29" s="11" t="s">
        <v>206</v>
      </c>
      <c r="E29" s="37">
        <f t="shared" si="0"/>
        <v>2</v>
      </c>
      <c r="F29" s="7" t="s">
        <v>207</v>
      </c>
      <c r="G29" s="35">
        <v>1989650</v>
      </c>
      <c r="H29" s="9" t="s">
        <v>102</v>
      </c>
      <c r="I29" s="9" t="s">
        <v>175</v>
      </c>
      <c r="J29" s="9" t="s">
        <v>176</v>
      </c>
      <c r="K29" s="9" t="s">
        <v>103</v>
      </c>
      <c r="L29" s="9" t="s">
        <v>104</v>
      </c>
      <c r="N29" s="9" t="s">
        <v>208</v>
      </c>
      <c r="O29" s="9" t="s">
        <v>209</v>
      </c>
      <c r="P29" s="9" t="s">
        <v>210</v>
      </c>
      <c r="Q29" s="9" t="s">
        <v>211</v>
      </c>
      <c r="R29" s="9" t="s">
        <v>212</v>
      </c>
      <c r="S29" s="9" t="s">
        <v>200</v>
      </c>
      <c r="T29" s="5">
        <v>36</v>
      </c>
      <c r="V29" s="9" t="s">
        <v>323</v>
      </c>
      <c r="W29" s="9" t="str">
        <f t="shared" si="10"/>
        <v>29/04/2026</v>
      </c>
      <c r="X29" s="10">
        <f t="shared" ca="1" si="11"/>
        <v>46181</v>
      </c>
      <c r="Y29" s="31">
        <f t="shared" ca="1" si="12"/>
        <v>-40</v>
      </c>
      <c r="Z29" s="32" t="str">
        <f t="shared" ca="1" si="13"/>
        <v>Expira en menos de 7 días</v>
      </c>
      <c r="AA29" s="5">
        <v>30</v>
      </c>
      <c r="AC29" s="5">
        <v>70</v>
      </c>
      <c r="AD29" s="5">
        <f t="shared" si="14"/>
        <v>100</v>
      </c>
      <c r="AT29" s="7"/>
      <c r="AU29" s="7"/>
      <c r="AV29" s="7"/>
    </row>
    <row r="30" spans="1:48" ht="159.5" x14ac:dyDescent="0.35">
      <c r="A30" s="36">
        <v>46073</v>
      </c>
      <c r="B30" s="7" t="s">
        <v>324</v>
      </c>
      <c r="C30" s="7" t="s">
        <v>269</v>
      </c>
      <c r="D30" s="11" t="s">
        <v>325</v>
      </c>
      <c r="E30" s="11">
        <f t="shared" si="0"/>
        <v>1</v>
      </c>
      <c r="F30" s="7" t="s">
        <v>326</v>
      </c>
      <c r="G30" s="35">
        <v>270000000</v>
      </c>
      <c r="H30" s="9" t="s">
        <v>75</v>
      </c>
      <c r="I30" s="9" t="s">
        <v>175</v>
      </c>
      <c r="J30" s="9" t="s">
        <v>176</v>
      </c>
      <c r="K30" s="9" t="s">
        <v>76</v>
      </c>
      <c r="L30" s="9" t="s">
        <v>77</v>
      </c>
      <c r="N30" s="9"/>
      <c r="O30" s="9"/>
      <c r="P30" s="9" t="s">
        <v>327</v>
      </c>
      <c r="Q30" s="9" t="s">
        <v>287</v>
      </c>
      <c r="R30" s="9" t="s">
        <v>231</v>
      </c>
      <c r="S30" s="9" t="s">
        <v>181</v>
      </c>
      <c r="T30" s="5">
        <v>36</v>
      </c>
      <c r="U30" s="5">
        <v>48</v>
      </c>
      <c r="V30" s="9" t="s">
        <v>328</v>
      </c>
      <c r="W30" s="9" t="str">
        <f t="shared" si="10"/>
        <v>23/03/2029</v>
      </c>
      <c r="X30" s="10">
        <f t="shared" ca="1" si="11"/>
        <v>46181</v>
      </c>
      <c r="Y30" s="31">
        <f t="shared" ca="1" si="12"/>
        <v>1019</v>
      </c>
      <c r="Z30" s="32" t="str">
        <f t="shared" ca="1" si="13"/>
        <v>En plazo de presentación</v>
      </c>
      <c r="AT30" s="7"/>
      <c r="AU30" s="7"/>
      <c r="AV30" s="7"/>
    </row>
    <row r="31" spans="1:48" ht="116" x14ac:dyDescent="0.35">
      <c r="A31" s="36">
        <v>46073</v>
      </c>
      <c r="B31" s="7" t="s">
        <v>329</v>
      </c>
      <c r="D31" s="11" t="s">
        <v>330</v>
      </c>
      <c r="E31" s="11">
        <f t="shared" si="0"/>
        <v>1</v>
      </c>
      <c r="F31" s="7" t="s">
        <v>331</v>
      </c>
      <c r="G31" s="35">
        <v>81000000</v>
      </c>
      <c r="H31" s="9" t="s">
        <v>99</v>
      </c>
      <c r="I31" s="9" t="s">
        <v>175</v>
      </c>
      <c r="J31" s="9" t="s">
        <v>176</v>
      </c>
      <c r="K31" s="9" t="s">
        <v>100</v>
      </c>
      <c r="L31" s="9" t="s">
        <v>101</v>
      </c>
      <c r="N31" s="9"/>
      <c r="O31" s="9"/>
      <c r="P31" s="9" t="s">
        <v>327</v>
      </c>
      <c r="Q31" s="9" t="s">
        <v>287</v>
      </c>
      <c r="R31" s="9" t="s">
        <v>231</v>
      </c>
      <c r="S31" s="9" t="s">
        <v>181</v>
      </c>
      <c r="T31" s="5">
        <v>36</v>
      </c>
      <c r="U31" s="5">
        <v>48</v>
      </c>
      <c r="V31" s="9" t="s">
        <v>328</v>
      </c>
      <c r="W31" s="9" t="str">
        <f t="shared" si="10"/>
        <v>23/03/2029</v>
      </c>
      <c r="X31" s="10">
        <f t="shared" ca="1" si="11"/>
        <v>46181</v>
      </c>
      <c r="Y31" s="31">
        <f t="shared" ca="1" si="12"/>
        <v>1019</v>
      </c>
      <c r="Z31" s="32" t="str">
        <f t="shared" ca="1" si="13"/>
        <v>En plazo de presentación</v>
      </c>
      <c r="AT31" s="7"/>
      <c r="AU31" s="7"/>
      <c r="AV31" s="7"/>
    </row>
    <row r="32" spans="1:48" ht="58" x14ac:dyDescent="0.35">
      <c r="A32" s="36">
        <v>46094</v>
      </c>
      <c r="B32" s="39" t="s">
        <v>332</v>
      </c>
      <c r="D32" s="11" t="s">
        <v>333</v>
      </c>
      <c r="E32" s="11">
        <f t="shared" si="0"/>
        <v>1</v>
      </c>
      <c r="F32" s="7" t="s">
        <v>334</v>
      </c>
      <c r="G32" s="35">
        <v>1913560.22</v>
      </c>
      <c r="H32" s="9" t="s">
        <v>56</v>
      </c>
      <c r="I32" s="9" t="s">
        <v>175</v>
      </c>
      <c r="J32" s="9" t="s">
        <v>176</v>
      </c>
      <c r="K32" s="9" t="s">
        <v>57</v>
      </c>
      <c r="L32" s="9" t="s">
        <v>58</v>
      </c>
      <c r="N32" s="9" t="s">
        <v>208</v>
      </c>
      <c r="O32" s="9" t="s">
        <v>209</v>
      </c>
      <c r="P32" s="9" t="s">
        <v>335</v>
      </c>
      <c r="Q32" s="9" t="s">
        <v>211</v>
      </c>
      <c r="R32" s="9" t="s">
        <v>212</v>
      </c>
      <c r="S32" s="9" t="s">
        <v>200</v>
      </c>
      <c r="T32" s="5">
        <v>9</v>
      </c>
      <c r="V32" s="9" t="s">
        <v>336</v>
      </c>
      <c r="W32" s="9" t="str">
        <f t="shared" si="10"/>
        <v>14/04/2026</v>
      </c>
      <c r="X32" s="10">
        <f t="shared" ca="1" si="11"/>
        <v>46181</v>
      </c>
      <c r="Y32" s="31">
        <f t="shared" ca="1" si="12"/>
        <v>-55</v>
      </c>
      <c r="Z32" s="32" t="str">
        <f t="shared" ca="1" si="13"/>
        <v>Expira en menos de 7 días</v>
      </c>
      <c r="AA32" s="5">
        <v>65</v>
      </c>
      <c r="AB32" s="5">
        <v>15</v>
      </c>
      <c r="AC32" s="5">
        <v>20</v>
      </c>
      <c r="AD32" s="5">
        <f t="shared" ref="AD32:AD72" si="15">SUM(AA32:AC32)</f>
        <v>100</v>
      </c>
      <c r="AT32" s="7"/>
      <c r="AU32" s="7"/>
      <c r="AV32" s="7"/>
    </row>
    <row r="33" spans="1:48" ht="29" x14ac:dyDescent="0.35">
      <c r="A33" s="36">
        <v>46092</v>
      </c>
      <c r="B33" s="39" t="s">
        <v>337</v>
      </c>
      <c r="D33" s="11" t="s">
        <v>338</v>
      </c>
      <c r="E33" s="11">
        <f t="shared" si="0"/>
        <v>1</v>
      </c>
      <c r="F33" s="7" t="s">
        <v>339</v>
      </c>
      <c r="G33" s="35">
        <v>2632000</v>
      </c>
      <c r="H33" s="9" t="s">
        <v>56</v>
      </c>
      <c r="I33" s="9" t="s">
        <v>175</v>
      </c>
      <c r="J33" s="9" t="s">
        <v>176</v>
      </c>
      <c r="K33" s="9" t="s">
        <v>57</v>
      </c>
      <c r="L33" s="9" t="s">
        <v>58</v>
      </c>
      <c r="N33" s="9" t="s">
        <v>223</v>
      </c>
      <c r="O33" s="9" t="s">
        <v>340</v>
      </c>
      <c r="P33" s="9" t="s">
        <v>341</v>
      </c>
      <c r="Q33" s="9" t="s">
        <v>218</v>
      </c>
      <c r="R33" s="9" t="s">
        <v>342</v>
      </c>
      <c r="S33" s="9" t="s">
        <v>200</v>
      </c>
      <c r="T33" s="5">
        <v>30</v>
      </c>
      <c r="V33" s="9" t="s">
        <v>343</v>
      </c>
      <c r="W33" s="9" t="str">
        <f t="shared" si="10"/>
        <v>15/04/2026</v>
      </c>
      <c r="X33" s="10">
        <f t="shared" ca="1" si="11"/>
        <v>46181</v>
      </c>
      <c r="Y33" s="31">
        <f t="shared" ca="1" si="12"/>
        <v>-54</v>
      </c>
      <c r="Z33" s="32" t="str">
        <f t="shared" ca="1" si="13"/>
        <v>Expira en menos de 7 días</v>
      </c>
      <c r="AA33" s="5">
        <v>31</v>
      </c>
      <c r="AB33" s="5">
        <v>69</v>
      </c>
      <c r="AD33" s="5">
        <f t="shared" si="15"/>
        <v>100</v>
      </c>
      <c r="AT33" s="7"/>
      <c r="AU33" s="7"/>
      <c r="AV33" s="7"/>
    </row>
    <row r="34" spans="1:48" ht="43.5" x14ac:dyDescent="0.35">
      <c r="A34" s="36">
        <v>46101</v>
      </c>
      <c r="B34" s="39" t="s">
        <v>344</v>
      </c>
      <c r="D34" s="11" t="s">
        <v>345</v>
      </c>
      <c r="E34" s="11">
        <f t="shared" ref="E34:E65" si="16">COUNTIF(D:D,D34)</f>
        <v>1</v>
      </c>
      <c r="F34" s="7" t="s">
        <v>346</v>
      </c>
      <c r="G34" s="35">
        <v>4524648.0999999996</v>
      </c>
      <c r="H34" s="9" t="s">
        <v>99</v>
      </c>
      <c r="I34" s="9" t="s">
        <v>175</v>
      </c>
      <c r="J34" s="9" t="s">
        <v>176</v>
      </c>
      <c r="K34" s="9" t="s">
        <v>100</v>
      </c>
      <c r="L34" s="9" t="s">
        <v>101</v>
      </c>
      <c r="N34" s="9" t="s">
        <v>196</v>
      </c>
      <c r="O34" s="9" t="s">
        <v>197</v>
      </c>
      <c r="P34" s="9" t="s">
        <v>347</v>
      </c>
      <c r="Q34" s="9" t="s">
        <v>199</v>
      </c>
      <c r="R34" s="9"/>
      <c r="S34" s="9" t="s">
        <v>200</v>
      </c>
      <c r="T34" s="5">
        <v>120</v>
      </c>
      <c r="V34" s="9" t="s">
        <v>348</v>
      </c>
      <c r="W34" s="9" t="str">
        <f t="shared" si="10"/>
        <v>15/04/2026</v>
      </c>
      <c r="X34" s="10">
        <f t="shared" ca="1" si="11"/>
        <v>46181</v>
      </c>
      <c r="Y34" s="31">
        <f t="shared" ca="1" si="12"/>
        <v>-54</v>
      </c>
      <c r="Z34" s="32" t="str">
        <f t="shared" ca="1" si="13"/>
        <v>Expira en menos de 7 días</v>
      </c>
      <c r="AA34" s="5">
        <v>85</v>
      </c>
      <c r="AB34" s="5">
        <v>15</v>
      </c>
      <c r="AD34" s="5">
        <f t="shared" si="15"/>
        <v>100</v>
      </c>
      <c r="AT34" s="7"/>
      <c r="AU34" s="7"/>
      <c r="AV34" s="7"/>
    </row>
    <row r="35" spans="1:48" ht="29" x14ac:dyDescent="0.35">
      <c r="A35" s="36">
        <v>46099</v>
      </c>
      <c r="B35" s="39" t="s">
        <v>349</v>
      </c>
      <c r="D35" s="11" t="s">
        <v>350</v>
      </c>
      <c r="E35" s="11">
        <f t="shared" si="16"/>
        <v>1</v>
      </c>
      <c r="F35" s="7" t="s">
        <v>351</v>
      </c>
      <c r="G35" s="35">
        <v>1597698.81</v>
      </c>
      <c r="H35" s="9" t="s">
        <v>99</v>
      </c>
      <c r="I35" s="9" t="s">
        <v>175</v>
      </c>
      <c r="J35" s="9" t="s">
        <v>176</v>
      </c>
      <c r="K35" s="9" t="s">
        <v>100</v>
      </c>
      <c r="L35" s="9" t="s">
        <v>101</v>
      </c>
      <c r="N35" s="9" t="s">
        <v>352</v>
      </c>
      <c r="O35" s="9" t="s">
        <v>352</v>
      </c>
      <c r="P35" s="9" t="s">
        <v>353</v>
      </c>
      <c r="Q35" s="9" t="s">
        <v>199</v>
      </c>
      <c r="R35" s="9" t="s">
        <v>180</v>
      </c>
      <c r="S35" s="9" t="s">
        <v>200</v>
      </c>
      <c r="T35" s="5">
        <v>72</v>
      </c>
      <c r="V35" s="9" t="s">
        <v>354</v>
      </c>
      <c r="W35" s="9" t="str">
        <f t="shared" si="10"/>
        <v>16/04/2026</v>
      </c>
      <c r="X35" s="10">
        <f t="shared" ca="1" si="11"/>
        <v>46181</v>
      </c>
      <c r="Y35" s="31">
        <f t="shared" ca="1" si="12"/>
        <v>-53</v>
      </c>
      <c r="Z35" s="32" t="str">
        <f t="shared" ca="1" si="13"/>
        <v>Expira en menos de 7 días</v>
      </c>
      <c r="AA35" s="5">
        <v>40</v>
      </c>
      <c r="AB35" s="5">
        <v>60</v>
      </c>
      <c r="AD35" s="5">
        <f t="shared" si="15"/>
        <v>100</v>
      </c>
      <c r="AT35" s="7"/>
      <c r="AU35" s="7"/>
      <c r="AV35" s="7"/>
    </row>
    <row r="36" spans="1:48" x14ac:dyDescent="0.35">
      <c r="A36" s="36">
        <v>46111</v>
      </c>
      <c r="B36" s="39" t="s">
        <v>355</v>
      </c>
      <c r="D36" s="11" t="s">
        <v>356</v>
      </c>
      <c r="E36" s="37">
        <f t="shared" si="16"/>
        <v>2</v>
      </c>
      <c r="F36" s="7" t="s">
        <v>357</v>
      </c>
      <c r="G36" s="35">
        <v>2396529.64</v>
      </c>
      <c r="H36" s="9" t="s">
        <v>99</v>
      </c>
      <c r="I36" s="9" t="s">
        <v>175</v>
      </c>
      <c r="J36" s="9" t="s">
        <v>176</v>
      </c>
      <c r="K36" s="9" t="s">
        <v>100</v>
      </c>
      <c r="L36" s="9" t="s">
        <v>101</v>
      </c>
      <c r="N36" s="9" t="s">
        <v>264</v>
      </c>
      <c r="O36" s="9"/>
      <c r="P36" s="9" t="s">
        <v>358</v>
      </c>
      <c r="Q36" s="9" t="s">
        <v>359</v>
      </c>
      <c r="R36" s="9" t="s">
        <v>360</v>
      </c>
      <c r="S36" s="9" t="s">
        <v>200</v>
      </c>
      <c r="T36" s="5">
        <v>30</v>
      </c>
      <c r="U36" s="5">
        <v>30</v>
      </c>
      <c r="V36" s="9" t="s">
        <v>361</v>
      </c>
      <c r="W36" s="9" t="str">
        <f t="shared" si="10"/>
        <v>16/04/2026</v>
      </c>
      <c r="X36" s="10">
        <f t="shared" ca="1" si="11"/>
        <v>46181</v>
      </c>
      <c r="Y36" s="31">
        <f t="shared" ca="1" si="12"/>
        <v>-53</v>
      </c>
      <c r="Z36" s="32" t="str">
        <f t="shared" ca="1" si="13"/>
        <v>Expira en menos de 7 días</v>
      </c>
      <c r="AA36" s="5">
        <v>49</v>
      </c>
      <c r="AB36" s="5">
        <v>51</v>
      </c>
      <c r="AD36" s="5">
        <f t="shared" si="15"/>
        <v>100</v>
      </c>
      <c r="AT36" s="7"/>
      <c r="AU36" s="7"/>
      <c r="AV36" s="7"/>
    </row>
    <row r="37" spans="1:48" ht="29" x14ac:dyDescent="0.35">
      <c r="A37" s="36">
        <v>46089</v>
      </c>
      <c r="B37" s="39" t="s">
        <v>362</v>
      </c>
      <c r="D37" s="11" t="s">
        <v>363</v>
      </c>
      <c r="E37" s="37">
        <f t="shared" si="16"/>
        <v>2</v>
      </c>
      <c r="F37" s="7" t="s">
        <v>364</v>
      </c>
      <c r="G37" s="35">
        <v>3417294.38</v>
      </c>
      <c r="H37" s="9" t="s">
        <v>85</v>
      </c>
      <c r="I37" s="9" t="s">
        <v>175</v>
      </c>
      <c r="J37" s="9" t="s">
        <v>176</v>
      </c>
      <c r="K37" s="9" t="s">
        <v>83</v>
      </c>
      <c r="L37" s="9" t="s">
        <v>86</v>
      </c>
      <c r="N37" s="9"/>
      <c r="O37" s="9"/>
      <c r="P37" s="9" t="s">
        <v>245</v>
      </c>
      <c r="Q37" s="9" t="s">
        <v>246</v>
      </c>
      <c r="R37" s="9"/>
      <c r="S37" s="9" t="s">
        <v>200</v>
      </c>
      <c r="T37" s="5">
        <v>48</v>
      </c>
      <c r="U37" s="5">
        <v>12</v>
      </c>
      <c r="V37" s="9" t="s">
        <v>365</v>
      </c>
      <c r="W37" s="9" t="str">
        <f t="shared" si="10"/>
        <v>17/04/2026</v>
      </c>
      <c r="X37" s="10">
        <f t="shared" ca="1" si="11"/>
        <v>46181</v>
      </c>
      <c r="Y37" s="31">
        <f t="shared" ca="1" si="12"/>
        <v>-52</v>
      </c>
      <c r="Z37" s="32" t="str">
        <f t="shared" ca="1" si="13"/>
        <v>Expira en menos de 7 días</v>
      </c>
      <c r="AA37" s="5">
        <v>70</v>
      </c>
      <c r="AB37" s="5">
        <v>18</v>
      </c>
      <c r="AC37" s="5">
        <v>12</v>
      </c>
      <c r="AD37" s="5">
        <f t="shared" si="15"/>
        <v>100</v>
      </c>
      <c r="AT37" s="7"/>
      <c r="AU37" s="7"/>
      <c r="AV37" s="7"/>
    </row>
    <row r="38" spans="1:48" ht="29" x14ac:dyDescent="0.35">
      <c r="A38" s="36">
        <v>46098</v>
      </c>
      <c r="B38" s="39" t="s">
        <v>366</v>
      </c>
      <c r="D38" s="11" t="s">
        <v>367</v>
      </c>
      <c r="E38" s="11">
        <f t="shared" si="16"/>
        <v>1</v>
      </c>
      <c r="F38" s="7" t="s">
        <v>368</v>
      </c>
      <c r="G38" s="35">
        <v>3401953.43</v>
      </c>
      <c r="H38" s="9" t="s">
        <v>111</v>
      </c>
      <c r="I38" s="9" t="s">
        <v>175</v>
      </c>
      <c r="J38" s="9" t="s">
        <v>176</v>
      </c>
      <c r="K38" s="9" t="s">
        <v>112</v>
      </c>
      <c r="L38" s="9" t="s">
        <v>113</v>
      </c>
      <c r="N38" s="9" t="s">
        <v>264</v>
      </c>
      <c r="O38" s="9"/>
      <c r="P38" s="9" t="s">
        <v>369</v>
      </c>
      <c r="Q38" s="9" t="s">
        <v>309</v>
      </c>
      <c r="R38" s="9" t="s">
        <v>212</v>
      </c>
      <c r="S38" s="9" t="s">
        <v>200</v>
      </c>
      <c r="T38" s="5">
        <v>38</v>
      </c>
      <c r="U38" s="5">
        <v>22</v>
      </c>
      <c r="V38" s="9" t="s">
        <v>370</v>
      </c>
      <c r="W38" s="9" t="str">
        <f t="shared" si="10"/>
        <v>17/04/2026</v>
      </c>
      <c r="X38" s="10">
        <f t="shared" ca="1" si="11"/>
        <v>46181</v>
      </c>
      <c r="Y38" s="31">
        <f t="shared" ca="1" si="12"/>
        <v>-52</v>
      </c>
      <c r="Z38" s="32" t="str">
        <f t="shared" ca="1" si="13"/>
        <v>Expira en menos de 7 días</v>
      </c>
      <c r="AA38" s="5">
        <v>20</v>
      </c>
      <c r="AB38" s="5">
        <v>31</v>
      </c>
      <c r="AC38" s="5">
        <v>49</v>
      </c>
      <c r="AD38" s="5">
        <f t="shared" si="15"/>
        <v>100</v>
      </c>
      <c r="AT38" s="7"/>
      <c r="AU38" s="7"/>
      <c r="AV38" s="7"/>
    </row>
    <row r="39" spans="1:48" ht="29" x14ac:dyDescent="0.35">
      <c r="A39" s="36">
        <v>46111</v>
      </c>
      <c r="B39" s="7" t="s">
        <v>371</v>
      </c>
      <c r="D39" s="11" t="s">
        <v>372</v>
      </c>
      <c r="E39" s="11">
        <f t="shared" si="16"/>
        <v>1</v>
      </c>
      <c r="F39" s="7" t="s">
        <v>373</v>
      </c>
      <c r="G39" s="35">
        <v>3827103.4</v>
      </c>
      <c r="H39" s="9" t="s">
        <v>99</v>
      </c>
      <c r="I39" s="9" t="s">
        <v>175</v>
      </c>
      <c r="J39" s="9" t="s">
        <v>176</v>
      </c>
      <c r="K39" s="9" t="s">
        <v>100</v>
      </c>
      <c r="L39" s="9" t="s">
        <v>101</v>
      </c>
      <c r="N39" s="9" t="s">
        <v>208</v>
      </c>
      <c r="O39" s="9" t="s">
        <v>209</v>
      </c>
      <c r="P39" s="9" t="s">
        <v>374</v>
      </c>
      <c r="Q39" s="9" t="s">
        <v>359</v>
      </c>
      <c r="R39" s="9" t="s">
        <v>375</v>
      </c>
      <c r="S39" s="9" t="s">
        <v>200</v>
      </c>
      <c r="T39" s="5">
        <v>60</v>
      </c>
      <c r="V39" s="9" t="s">
        <v>376</v>
      </c>
      <c r="W39" s="9" t="str">
        <f t="shared" si="10"/>
        <v>17/04/2026</v>
      </c>
      <c r="X39" s="10">
        <f t="shared" ca="1" si="11"/>
        <v>46181</v>
      </c>
      <c r="Y39" s="31">
        <f t="shared" ca="1" si="12"/>
        <v>-52</v>
      </c>
      <c r="Z39" s="32" t="str">
        <f t="shared" ca="1" si="13"/>
        <v>Expira en menos de 7 días</v>
      </c>
      <c r="AA39" s="5">
        <v>70</v>
      </c>
      <c r="AB39" s="5">
        <v>30</v>
      </c>
      <c r="AD39" s="5">
        <f t="shared" si="15"/>
        <v>100</v>
      </c>
      <c r="AT39" s="7"/>
      <c r="AU39" s="7"/>
      <c r="AV39" s="7"/>
    </row>
    <row r="40" spans="1:48" ht="58" x14ac:dyDescent="0.35">
      <c r="A40" s="36">
        <v>46079</v>
      </c>
      <c r="B40" s="39" t="s">
        <v>377</v>
      </c>
      <c r="D40" s="11" t="s">
        <v>378</v>
      </c>
      <c r="E40" s="11">
        <f t="shared" si="16"/>
        <v>1</v>
      </c>
      <c r="F40" s="7" t="s">
        <v>379</v>
      </c>
      <c r="G40" s="35">
        <v>2098444.08</v>
      </c>
      <c r="H40" s="9" t="s">
        <v>99</v>
      </c>
      <c r="I40" s="9" t="s">
        <v>175</v>
      </c>
      <c r="J40" s="9" t="s">
        <v>176</v>
      </c>
      <c r="K40" s="9" t="s">
        <v>100</v>
      </c>
      <c r="L40" s="9" t="s">
        <v>101</v>
      </c>
      <c r="N40" s="9" t="s">
        <v>223</v>
      </c>
      <c r="O40" s="9" t="s">
        <v>292</v>
      </c>
      <c r="P40" s="9" t="s">
        <v>380</v>
      </c>
      <c r="Q40" s="9" t="s">
        <v>381</v>
      </c>
      <c r="R40" s="9"/>
      <c r="S40" s="9" t="s">
        <v>200</v>
      </c>
      <c r="T40" s="5">
        <v>10</v>
      </c>
      <c r="V40" s="9" t="s">
        <v>382</v>
      </c>
      <c r="W40" s="9" t="str">
        <f t="shared" si="10"/>
        <v>23/04/2026</v>
      </c>
      <c r="X40" s="10">
        <f t="shared" ca="1" si="11"/>
        <v>46181</v>
      </c>
      <c r="Y40" s="31">
        <f t="shared" ca="1" si="12"/>
        <v>-46</v>
      </c>
      <c r="Z40" s="32" t="str">
        <f t="shared" ca="1" si="13"/>
        <v>Expira en menos de 7 días</v>
      </c>
      <c r="AA40" s="5">
        <v>54</v>
      </c>
      <c r="AC40" s="5">
        <v>46</v>
      </c>
      <c r="AD40" s="5">
        <f t="shared" si="15"/>
        <v>100</v>
      </c>
      <c r="AT40" s="7"/>
      <c r="AU40" s="7"/>
      <c r="AV40" s="7"/>
    </row>
    <row r="41" spans="1:48" ht="72.5" x14ac:dyDescent="0.35">
      <c r="A41" s="36">
        <v>46106</v>
      </c>
      <c r="B41" s="7" t="s">
        <v>383</v>
      </c>
      <c r="D41" s="11" t="s">
        <v>384</v>
      </c>
      <c r="E41" s="11">
        <f t="shared" si="16"/>
        <v>1</v>
      </c>
      <c r="F41" s="7" t="s">
        <v>385</v>
      </c>
      <c r="G41" s="35">
        <v>1400000</v>
      </c>
      <c r="H41" s="9" t="s">
        <v>99</v>
      </c>
      <c r="I41" s="9" t="s">
        <v>175</v>
      </c>
      <c r="J41" s="9" t="s">
        <v>176</v>
      </c>
      <c r="K41" s="9" t="s">
        <v>100</v>
      </c>
      <c r="L41" s="9" t="s">
        <v>101</v>
      </c>
      <c r="N41" s="9" t="s">
        <v>264</v>
      </c>
      <c r="O41" s="9" t="s">
        <v>265</v>
      </c>
      <c r="P41" s="9" t="s">
        <v>386</v>
      </c>
      <c r="Q41" s="9" t="s">
        <v>309</v>
      </c>
      <c r="R41" s="9" t="s">
        <v>387</v>
      </c>
      <c r="S41" s="9" t="s">
        <v>200</v>
      </c>
      <c r="T41" s="5">
        <v>1</v>
      </c>
      <c r="V41" s="9" t="s">
        <v>247</v>
      </c>
      <c r="W41" s="9" t="str">
        <f t="shared" si="10"/>
        <v>23/04/2026</v>
      </c>
      <c r="X41" s="10">
        <f t="shared" ca="1" si="11"/>
        <v>46181</v>
      </c>
      <c r="Y41" s="31">
        <f t="shared" ca="1" si="12"/>
        <v>-46</v>
      </c>
      <c r="Z41" s="32" t="str">
        <f t="shared" ca="1" si="13"/>
        <v>Expira en menos de 7 días</v>
      </c>
      <c r="AA41" s="5">
        <v>50</v>
      </c>
      <c r="AB41" s="5">
        <v>50</v>
      </c>
      <c r="AD41" s="5">
        <f t="shared" si="15"/>
        <v>100</v>
      </c>
      <c r="AT41" s="7"/>
      <c r="AU41" s="7"/>
      <c r="AV41" s="7"/>
    </row>
    <row r="42" spans="1:48" ht="29" x14ac:dyDescent="0.35">
      <c r="A42" s="36">
        <v>46106</v>
      </c>
      <c r="B42" s="39" t="s">
        <v>388</v>
      </c>
      <c r="D42" s="11">
        <v>26710019600</v>
      </c>
      <c r="E42" s="11">
        <f t="shared" si="16"/>
        <v>1</v>
      </c>
      <c r="F42" s="7" t="s">
        <v>389</v>
      </c>
      <c r="G42" s="35">
        <v>3480000</v>
      </c>
      <c r="H42" s="9" t="s">
        <v>99</v>
      </c>
      <c r="I42" s="9" t="s">
        <v>175</v>
      </c>
      <c r="J42" s="9" t="s">
        <v>176</v>
      </c>
      <c r="K42" s="9" t="s">
        <v>100</v>
      </c>
      <c r="L42" s="9" t="s">
        <v>101</v>
      </c>
      <c r="N42" s="9"/>
      <c r="O42" s="9"/>
      <c r="P42" s="9" t="s">
        <v>390</v>
      </c>
      <c r="Q42" s="9" t="s">
        <v>298</v>
      </c>
      <c r="R42" s="9"/>
      <c r="S42" s="9" t="s">
        <v>200</v>
      </c>
      <c r="T42" s="5">
        <v>18</v>
      </c>
      <c r="V42" s="9" t="s">
        <v>391</v>
      </c>
      <c r="W42" s="9" t="str">
        <f t="shared" si="10"/>
        <v>28/04/2026</v>
      </c>
      <c r="X42" s="10">
        <f t="shared" ca="1" si="11"/>
        <v>46181</v>
      </c>
      <c r="Y42" s="31">
        <f t="shared" ca="1" si="12"/>
        <v>-41</v>
      </c>
      <c r="Z42" s="32" t="str">
        <f t="shared" ca="1" si="13"/>
        <v>Expira en menos de 7 días</v>
      </c>
      <c r="AA42" s="5">
        <v>40</v>
      </c>
      <c r="AB42" s="5">
        <v>60</v>
      </c>
      <c r="AD42" s="5">
        <f t="shared" si="15"/>
        <v>100</v>
      </c>
      <c r="AT42" s="7"/>
      <c r="AU42" s="7"/>
      <c r="AV42" s="7"/>
    </row>
    <row r="43" spans="1:48" x14ac:dyDescent="0.35">
      <c r="A43" s="36">
        <v>46112</v>
      </c>
      <c r="B43" s="39" t="s">
        <v>392</v>
      </c>
      <c r="D43" s="11" t="s">
        <v>393</v>
      </c>
      <c r="E43" s="37">
        <f t="shared" si="16"/>
        <v>2</v>
      </c>
      <c r="F43" s="7" t="s">
        <v>394</v>
      </c>
      <c r="G43" s="35">
        <v>3101083.45</v>
      </c>
      <c r="H43" s="9" t="s">
        <v>99</v>
      </c>
      <c r="I43" s="9" t="s">
        <v>175</v>
      </c>
      <c r="J43" s="9" t="s">
        <v>176</v>
      </c>
      <c r="K43" s="9" t="s">
        <v>100</v>
      </c>
      <c r="L43" s="9" t="s">
        <v>101</v>
      </c>
      <c r="N43" s="9" t="s">
        <v>208</v>
      </c>
      <c r="O43" s="9"/>
      <c r="P43" s="9" t="s">
        <v>395</v>
      </c>
      <c r="Q43" s="9" t="s">
        <v>199</v>
      </c>
      <c r="R43" s="9" t="s">
        <v>180</v>
      </c>
      <c r="S43" s="9" t="s">
        <v>200</v>
      </c>
      <c r="T43" s="5">
        <v>14</v>
      </c>
      <c r="V43" s="9" t="s">
        <v>323</v>
      </c>
      <c r="W43" s="9" t="str">
        <f t="shared" si="10"/>
        <v>29/04/2026</v>
      </c>
      <c r="X43" s="10">
        <f t="shared" ca="1" si="11"/>
        <v>46181</v>
      </c>
      <c r="Y43" s="31">
        <f t="shared" ca="1" si="12"/>
        <v>-40</v>
      </c>
      <c r="Z43" s="32" t="str">
        <f t="shared" ca="1" si="13"/>
        <v>Expira en menos de 7 días</v>
      </c>
      <c r="AA43" s="5">
        <v>60</v>
      </c>
      <c r="AB43" s="5">
        <v>25</v>
      </c>
      <c r="AC43" s="5">
        <v>15</v>
      </c>
      <c r="AD43" s="5">
        <f t="shared" si="15"/>
        <v>100</v>
      </c>
      <c r="AT43" s="7"/>
      <c r="AU43" s="7"/>
      <c r="AV43" s="7"/>
    </row>
    <row r="44" spans="1:48" ht="29" x14ac:dyDescent="0.35">
      <c r="A44" s="36">
        <v>46089</v>
      </c>
      <c r="B44" s="39" t="s">
        <v>396</v>
      </c>
      <c r="C44" s="7" t="s">
        <v>397</v>
      </c>
      <c r="D44" s="11" t="s">
        <v>363</v>
      </c>
      <c r="E44" s="37">
        <f t="shared" si="16"/>
        <v>2</v>
      </c>
      <c r="F44" s="7" t="s">
        <v>364</v>
      </c>
      <c r="G44" s="35">
        <v>3417294.38</v>
      </c>
      <c r="H44" s="9" t="s">
        <v>85</v>
      </c>
      <c r="I44" s="9" t="s">
        <v>175</v>
      </c>
      <c r="J44" s="9" t="s">
        <v>176</v>
      </c>
      <c r="K44" s="9" t="s">
        <v>83</v>
      </c>
      <c r="L44" s="9" t="s">
        <v>86</v>
      </c>
      <c r="N44" s="9"/>
      <c r="O44" s="9"/>
      <c r="P44" s="9" t="s">
        <v>245</v>
      </c>
      <c r="Q44" s="9" t="s">
        <v>246</v>
      </c>
      <c r="R44" s="9"/>
      <c r="S44" s="9" t="s">
        <v>200</v>
      </c>
      <c r="T44" s="5">
        <v>48</v>
      </c>
      <c r="U44" s="5">
        <v>12</v>
      </c>
      <c r="V44" s="9" t="s">
        <v>398</v>
      </c>
      <c r="W44" s="9" t="str">
        <f t="shared" si="10"/>
        <v>30/04/2026</v>
      </c>
      <c r="X44" s="10">
        <f t="shared" ca="1" si="11"/>
        <v>46181</v>
      </c>
      <c r="Y44" s="31">
        <f t="shared" ca="1" si="12"/>
        <v>-39</v>
      </c>
      <c r="Z44" s="32" t="str">
        <f t="shared" ca="1" si="13"/>
        <v>Expira en menos de 7 días</v>
      </c>
      <c r="AA44" s="5">
        <v>70</v>
      </c>
      <c r="AB44" s="5">
        <v>18</v>
      </c>
      <c r="AC44" s="5">
        <v>12</v>
      </c>
      <c r="AD44" s="5">
        <f t="shared" si="15"/>
        <v>100</v>
      </c>
      <c r="AT44" s="7"/>
      <c r="AU44" s="7"/>
      <c r="AV44" s="7"/>
    </row>
    <row r="45" spans="1:48" ht="159.5" x14ac:dyDescent="0.35">
      <c r="A45" s="36">
        <v>46118</v>
      </c>
      <c r="B45" s="7" t="s">
        <v>399</v>
      </c>
      <c r="D45" s="11" t="s">
        <v>400</v>
      </c>
      <c r="E45" s="11">
        <f t="shared" si="16"/>
        <v>1</v>
      </c>
      <c r="F45" s="7" t="s">
        <v>401</v>
      </c>
      <c r="G45" s="35">
        <v>1348080.95</v>
      </c>
      <c r="H45" s="9" t="s">
        <v>56</v>
      </c>
      <c r="I45" s="9" t="s">
        <v>175</v>
      </c>
      <c r="J45" s="9" t="s">
        <v>176</v>
      </c>
      <c r="K45" s="9" t="s">
        <v>57</v>
      </c>
      <c r="L45" s="9" t="s">
        <v>58</v>
      </c>
      <c r="N45" s="9" t="s">
        <v>208</v>
      </c>
      <c r="O45" s="9" t="s">
        <v>209</v>
      </c>
      <c r="P45" s="9" t="s">
        <v>402</v>
      </c>
      <c r="Q45" s="9" t="s">
        <v>381</v>
      </c>
      <c r="R45" s="9" t="s">
        <v>342</v>
      </c>
      <c r="S45" s="9" t="s">
        <v>403</v>
      </c>
      <c r="T45" s="5">
        <v>3</v>
      </c>
      <c r="V45" s="9" t="s">
        <v>404</v>
      </c>
      <c r="W45" s="9" t="str">
        <f t="shared" si="10"/>
        <v>04/05/2026</v>
      </c>
      <c r="X45" s="10">
        <f t="shared" ca="1" si="11"/>
        <v>46181</v>
      </c>
      <c r="Y45" s="31">
        <f t="shared" ca="1" si="12"/>
        <v>-35</v>
      </c>
      <c r="Z45" s="32" t="str">
        <f t="shared" ca="1" si="13"/>
        <v>Expira en menos de 7 días</v>
      </c>
      <c r="AA45" s="5">
        <v>75</v>
      </c>
      <c r="AB45" s="5">
        <v>25</v>
      </c>
      <c r="AD45" s="5">
        <f t="shared" si="15"/>
        <v>100</v>
      </c>
      <c r="AT45" s="7"/>
      <c r="AU45" s="7"/>
      <c r="AV45" s="7"/>
    </row>
    <row r="46" spans="1:48" ht="58" x14ac:dyDescent="0.35">
      <c r="A46" s="36">
        <v>46099</v>
      </c>
      <c r="B46" s="39" t="s">
        <v>405</v>
      </c>
      <c r="D46" s="11" t="s">
        <v>406</v>
      </c>
      <c r="E46" s="11">
        <f t="shared" si="16"/>
        <v>1</v>
      </c>
      <c r="F46" s="7" t="s">
        <v>407</v>
      </c>
      <c r="G46" s="35">
        <v>6952200</v>
      </c>
      <c r="H46" s="9" t="s">
        <v>99</v>
      </c>
      <c r="I46" s="9" t="s">
        <v>175</v>
      </c>
      <c r="J46" s="9" t="s">
        <v>176</v>
      </c>
      <c r="K46" s="9" t="s">
        <v>100</v>
      </c>
      <c r="L46" s="9" t="s">
        <v>101</v>
      </c>
      <c r="N46" s="9"/>
      <c r="O46" s="9"/>
      <c r="P46" s="9" t="s">
        <v>408</v>
      </c>
      <c r="Q46" s="9" t="s">
        <v>211</v>
      </c>
      <c r="R46" s="9" t="s">
        <v>212</v>
      </c>
      <c r="S46" s="9" t="s">
        <v>200</v>
      </c>
      <c r="T46" s="5">
        <v>36</v>
      </c>
      <c r="U46" s="5">
        <v>12</v>
      </c>
      <c r="V46" s="9" t="s">
        <v>409</v>
      </c>
      <c r="W46" s="9" t="str">
        <f t="shared" si="10"/>
        <v>12/05/2026</v>
      </c>
      <c r="X46" s="10">
        <f t="shared" ca="1" si="11"/>
        <v>46181</v>
      </c>
      <c r="Y46" s="31">
        <f t="shared" ca="1" si="12"/>
        <v>-27</v>
      </c>
      <c r="Z46" s="32" t="str">
        <f t="shared" ca="1" si="13"/>
        <v>Expira en menos de 7 días</v>
      </c>
      <c r="AA46" s="5">
        <v>60</v>
      </c>
      <c r="AB46" s="5">
        <v>25</v>
      </c>
      <c r="AC46" s="5">
        <v>15</v>
      </c>
      <c r="AD46" s="5">
        <f t="shared" si="15"/>
        <v>100</v>
      </c>
      <c r="AT46" s="7"/>
      <c r="AU46" s="7"/>
      <c r="AV46" s="7"/>
    </row>
    <row r="47" spans="1:48" ht="29" x14ac:dyDescent="0.35">
      <c r="A47" s="36">
        <v>46120</v>
      </c>
      <c r="B47" s="7" t="s">
        <v>410</v>
      </c>
      <c r="D47" s="11" t="s">
        <v>411</v>
      </c>
      <c r="E47" s="11">
        <f t="shared" si="16"/>
        <v>1</v>
      </c>
      <c r="F47" s="7" t="s">
        <v>412</v>
      </c>
      <c r="G47" s="35">
        <v>1000000</v>
      </c>
      <c r="H47" s="9" t="s">
        <v>85</v>
      </c>
      <c r="I47" s="9" t="s">
        <v>175</v>
      </c>
      <c r="J47" s="9" t="s">
        <v>176</v>
      </c>
      <c r="K47" s="9" t="s">
        <v>83</v>
      </c>
      <c r="L47" s="9" t="s">
        <v>86</v>
      </c>
      <c r="N47" s="9" t="s">
        <v>177</v>
      </c>
      <c r="O47" s="9" t="s">
        <v>413</v>
      </c>
      <c r="P47" s="9" t="s">
        <v>414</v>
      </c>
      <c r="Q47" s="9" t="s">
        <v>415</v>
      </c>
      <c r="R47" s="9"/>
      <c r="S47" s="9" t="s">
        <v>200</v>
      </c>
      <c r="T47" s="5">
        <v>24</v>
      </c>
      <c r="U47" s="5">
        <v>36</v>
      </c>
      <c r="V47" s="9" t="s">
        <v>416</v>
      </c>
      <c r="W47" s="9" t="str">
        <f t="shared" si="10"/>
        <v>07/05/2026</v>
      </c>
      <c r="X47" s="10">
        <f t="shared" ca="1" si="11"/>
        <v>46181</v>
      </c>
      <c r="Y47" s="31">
        <f t="shared" ref="Y47" ca="1" si="17">W47-X47</f>
        <v>-32</v>
      </c>
      <c r="Z47" s="32" t="str">
        <f t="shared" ca="1" si="13"/>
        <v>Expira en menos de 7 días</v>
      </c>
      <c r="AA47" s="5">
        <v>25</v>
      </c>
      <c r="AB47" s="5">
        <v>65</v>
      </c>
      <c r="AC47" s="5">
        <v>10</v>
      </c>
      <c r="AD47" s="5">
        <f t="shared" si="15"/>
        <v>100</v>
      </c>
      <c r="AT47" s="7"/>
      <c r="AU47" s="7"/>
      <c r="AV47" s="7"/>
    </row>
    <row r="48" spans="1:48" ht="43.5" x14ac:dyDescent="0.35">
      <c r="A48" s="36">
        <v>46122</v>
      </c>
      <c r="B48" s="7" t="s">
        <v>417</v>
      </c>
      <c r="D48" s="11" t="s">
        <v>418</v>
      </c>
      <c r="E48" s="11">
        <f t="shared" si="16"/>
        <v>1</v>
      </c>
      <c r="F48" s="7" t="s">
        <v>244</v>
      </c>
      <c r="G48" s="35">
        <v>1376263.36</v>
      </c>
      <c r="H48" s="9" t="s">
        <v>75</v>
      </c>
      <c r="I48" s="9" t="s">
        <v>175</v>
      </c>
      <c r="J48" s="9" t="s">
        <v>176</v>
      </c>
      <c r="K48" s="9" t="s">
        <v>76</v>
      </c>
      <c r="L48" s="9" t="s">
        <v>77</v>
      </c>
      <c r="N48" s="9" t="s">
        <v>419</v>
      </c>
      <c r="O48" s="9" t="s">
        <v>420</v>
      </c>
      <c r="P48" s="9" t="s">
        <v>421</v>
      </c>
      <c r="Q48" s="9" t="s">
        <v>239</v>
      </c>
      <c r="R48" s="9"/>
      <c r="S48" s="9" t="s">
        <v>200</v>
      </c>
      <c r="V48" s="9" t="s">
        <v>422</v>
      </c>
      <c r="W48" s="9" t="str">
        <f t="shared" si="10"/>
        <v>23/04/2026</v>
      </c>
      <c r="X48" s="10">
        <f t="shared" ca="1" si="11"/>
        <v>46181</v>
      </c>
      <c r="Y48" s="31">
        <f t="shared" ref="Y48" ca="1" si="18">W48-X48</f>
        <v>-46</v>
      </c>
      <c r="Z48" s="32" t="str">
        <f t="shared" ref="Z48" ca="1" si="19">IF(Y48&lt;7,"Expira en menos de 7 días",IF(Y48&lt;15,"Expira en menos de 15 días",IF(Y48&lt;30,"Expira en menos de 30 días","En plazo de presentación")))</f>
        <v>Expira en menos de 7 días</v>
      </c>
      <c r="AA48" s="5">
        <v>100</v>
      </c>
      <c r="AD48" s="5">
        <f t="shared" si="15"/>
        <v>100</v>
      </c>
      <c r="AT48" s="7"/>
      <c r="AU48" s="7"/>
      <c r="AV48" s="7"/>
    </row>
    <row r="49" spans="1:48" ht="116" x14ac:dyDescent="0.35">
      <c r="A49" s="36">
        <v>46122</v>
      </c>
      <c r="B49" s="7" t="s">
        <v>423</v>
      </c>
      <c r="D49" s="11" t="s">
        <v>424</v>
      </c>
      <c r="E49" s="11">
        <f t="shared" si="16"/>
        <v>1</v>
      </c>
      <c r="F49" s="7" t="s">
        <v>425</v>
      </c>
      <c r="G49" s="35">
        <v>1000000</v>
      </c>
      <c r="H49" s="9" t="s">
        <v>56</v>
      </c>
      <c r="I49" s="9" t="s">
        <v>175</v>
      </c>
      <c r="J49" s="9" t="s">
        <v>176</v>
      </c>
      <c r="K49" s="9" t="s">
        <v>57</v>
      </c>
      <c r="L49" s="9" t="s">
        <v>58</v>
      </c>
      <c r="N49" s="9" t="s">
        <v>177</v>
      </c>
      <c r="O49" s="9" t="s">
        <v>426</v>
      </c>
      <c r="P49" s="9" t="s">
        <v>427</v>
      </c>
      <c r="Q49" s="9" t="s">
        <v>199</v>
      </c>
      <c r="R49" s="9" t="s">
        <v>180</v>
      </c>
      <c r="S49" s="9" t="s">
        <v>181</v>
      </c>
      <c r="T49" s="5">
        <v>48</v>
      </c>
      <c r="V49" s="9" t="s">
        <v>409</v>
      </c>
      <c r="W49" s="9" t="str">
        <f t="shared" si="10"/>
        <v>12/05/2026</v>
      </c>
      <c r="X49" s="10">
        <f t="shared" ca="1" si="11"/>
        <v>46181</v>
      </c>
      <c r="Y49" s="31">
        <f t="shared" ref="Y49" ca="1" si="20">W49-X49</f>
        <v>-27</v>
      </c>
      <c r="Z49" s="32" t="str">
        <f t="shared" ref="Z49" ca="1" si="21">IF(Y49&lt;7,"Expira en menos de 7 días",IF(Y49&lt;15,"Expira en menos de 15 días",IF(Y49&lt;30,"Expira en menos de 30 días","En plazo de presentación")))</f>
        <v>Expira en menos de 7 días</v>
      </c>
      <c r="AA49" s="5">
        <v>100</v>
      </c>
      <c r="AD49" s="5">
        <f t="shared" si="15"/>
        <v>100</v>
      </c>
      <c r="AT49" s="7"/>
      <c r="AU49" s="7"/>
      <c r="AV49" s="7"/>
    </row>
    <row r="50" spans="1:48" ht="29" x14ac:dyDescent="0.35">
      <c r="A50" s="36">
        <v>46124</v>
      </c>
      <c r="B50" s="7" t="s">
        <v>428</v>
      </c>
      <c r="D50" s="11" t="s">
        <v>429</v>
      </c>
      <c r="E50" s="11">
        <f t="shared" si="16"/>
        <v>1</v>
      </c>
      <c r="F50" s="7" t="s">
        <v>339</v>
      </c>
      <c r="G50" s="35">
        <v>2854700</v>
      </c>
      <c r="H50" s="9" t="s">
        <v>111</v>
      </c>
      <c r="I50" s="9" t="s">
        <v>175</v>
      </c>
      <c r="J50" s="9" t="s">
        <v>176</v>
      </c>
      <c r="K50" s="9" t="s">
        <v>112</v>
      </c>
      <c r="L50" s="9" t="s">
        <v>113</v>
      </c>
      <c r="N50" s="9"/>
      <c r="O50" s="9"/>
      <c r="P50" s="9" t="s">
        <v>217</v>
      </c>
      <c r="Q50" s="9" t="s">
        <v>218</v>
      </c>
      <c r="R50" s="9" t="s">
        <v>180</v>
      </c>
      <c r="S50" s="9" t="s">
        <v>200</v>
      </c>
      <c r="T50" s="5">
        <v>60</v>
      </c>
      <c r="V50" s="9" t="s">
        <v>430</v>
      </c>
      <c r="W50" s="9" t="str">
        <f t="shared" si="10"/>
        <v>18/05/2026</v>
      </c>
      <c r="X50" s="10">
        <f t="shared" ca="1" si="11"/>
        <v>46181</v>
      </c>
      <c r="Y50" s="31">
        <f t="shared" ref="Y50" ca="1" si="22">W50-X50</f>
        <v>-21</v>
      </c>
      <c r="Z50" s="32" t="str">
        <f t="shared" ref="Z50" ca="1" si="23">IF(Y50&lt;7,"Expira en menos de 7 días",IF(Y50&lt;15,"Expira en menos de 15 días",IF(Y50&lt;30,"Expira en menos de 30 días","En plazo de presentación")))</f>
        <v>Expira en menos de 7 días</v>
      </c>
      <c r="AA50" s="5">
        <v>56</v>
      </c>
      <c r="AB50" s="5">
        <v>4</v>
      </c>
      <c r="AC50" s="5">
        <v>40</v>
      </c>
      <c r="AD50" s="5">
        <f t="shared" si="15"/>
        <v>100</v>
      </c>
      <c r="AT50" s="7"/>
      <c r="AU50" s="7"/>
      <c r="AV50" s="7"/>
    </row>
    <row r="51" spans="1:48" ht="29" x14ac:dyDescent="0.35">
      <c r="A51" s="36">
        <v>46124</v>
      </c>
      <c r="B51" s="7" t="s">
        <v>431</v>
      </c>
      <c r="D51" s="11" t="s">
        <v>432</v>
      </c>
      <c r="E51" s="11">
        <f t="shared" si="16"/>
        <v>1</v>
      </c>
      <c r="F51" s="7" t="s">
        <v>433</v>
      </c>
      <c r="G51" s="35">
        <v>1383640</v>
      </c>
      <c r="H51" s="9" t="s">
        <v>56</v>
      </c>
      <c r="I51" s="9" t="s">
        <v>175</v>
      </c>
      <c r="J51" s="9" t="s">
        <v>176</v>
      </c>
      <c r="K51" s="9" t="s">
        <v>57</v>
      </c>
      <c r="L51" s="9" t="s">
        <v>58</v>
      </c>
      <c r="N51" s="9" t="s">
        <v>264</v>
      </c>
      <c r="O51" s="9" t="s">
        <v>265</v>
      </c>
      <c r="P51" s="9" t="s">
        <v>217</v>
      </c>
      <c r="Q51" s="9" t="s">
        <v>218</v>
      </c>
      <c r="R51" s="9" t="s">
        <v>180</v>
      </c>
      <c r="S51" s="9" t="s">
        <v>200</v>
      </c>
      <c r="V51" s="9" t="s">
        <v>430</v>
      </c>
      <c r="W51" s="9" t="str">
        <f t="shared" si="10"/>
        <v>18/05/2026</v>
      </c>
      <c r="X51" s="10">
        <f t="shared" ca="1" si="11"/>
        <v>46181</v>
      </c>
      <c r="Y51" s="31">
        <f t="shared" ref="Y51" ca="1" si="24">W51-X51</f>
        <v>-21</v>
      </c>
      <c r="Z51" s="32" t="str">
        <f t="shared" ref="Z51" ca="1" si="25">IF(Y51&lt;7,"Expira en menos de 7 días",IF(Y51&lt;15,"Expira en menos de 15 días",IF(Y51&lt;30,"Expira en menos de 30 días","En plazo de presentación")))</f>
        <v>Expira en menos de 7 días</v>
      </c>
      <c r="AA51" s="5">
        <v>72</v>
      </c>
      <c r="AB51" s="5">
        <v>3</v>
      </c>
      <c r="AC51" s="5">
        <v>25</v>
      </c>
      <c r="AD51" s="5">
        <f t="shared" si="15"/>
        <v>100</v>
      </c>
      <c r="AT51" s="7"/>
      <c r="AU51" s="7"/>
      <c r="AV51" s="7"/>
    </row>
    <row r="52" spans="1:48" ht="58" x14ac:dyDescent="0.35">
      <c r="A52" s="36">
        <v>46124</v>
      </c>
      <c r="B52" s="7" t="s">
        <v>434</v>
      </c>
      <c r="D52" s="11" t="s">
        <v>435</v>
      </c>
      <c r="E52" s="11">
        <f t="shared" si="16"/>
        <v>1</v>
      </c>
      <c r="F52" s="7" t="s">
        <v>436</v>
      </c>
      <c r="G52" s="35">
        <v>1034360</v>
      </c>
      <c r="H52" s="9" t="s">
        <v>102</v>
      </c>
      <c r="I52" s="9" t="s">
        <v>175</v>
      </c>
      <c r="J52" s="9" t="s">
        <v>176</v>
      </c>
      <c r="K52" s="9" t="s">
        <v>103</v>
      </c>
      <c r="L52" s="9" t="s">
        <v>104</v>
      </c>
      <c r="N52" s="9" t="s">
        <v>177</v>
      </c>
      <c r="O52" s="9" t="s">
        <v>413</v>
      </c>
      <c r="P52" s="9" t="s">
        <v>437</v>
      </c>
      <c r="Q52" s="9" t="s">
        <v>287</v>
      </c>
      <c r="R52" s="9"/>
      <c r="S52" s="9" t="s">
        <v>200</v>
      </c>
      <c r="T52" s="5">
        <v>2</v>
      </c>
      <c r="V52" s="9" t="s">
        <v>438</v>
      </c>
      <c r="W52" s="9" t="str">
        <f t="shared" si="10"/>
        <v>13/05/2026</v>
      </c>
      <c r="X52" s="10">
        <f t="shared" ca="1" si="11"/>
        <v>46181</v>
      </c>
      <c r="Y52" s="31">
        <f t="shared" ref="Y52" ca="1" si="26">W52-X52</f>
        <v>-26</v>
      </c>
      <c r="Z52" s="32" t="str">
        <f t="shared" ref="Z52" ca="1" si="27">IF(Y52&lt;7,"Expira en menos de 7 días",IF(Y52&lt;15,"Expira en menos de 15 días",IF(Y52&lt;30,"Expira en menos de 30 días","En plazo de presentación")))</f>
        <v>Expira en menos de 7 días</v>
      </c>
      <c r="AA52" s="5">
        <v>90</v>
      </c>
      <c r="AB52" s="5">
        <v>10</v>
      </c>
      <c r="AD52" s="5">
        <f t="shared" si="15"/>
        <v>100</v>
      </c>
      <c r="AT52" s="7"/>
      <c r="AU52" s="7"/>
      <c r="AV52" s="7"/>
    </row>
    <row r="53" spans="1:48" ht="58" x14ac:dyDescent="0.35">
      <c r="A53" s="36">
        <v>46124</v>
      </c>
      <c r="B53" s="7" t="s">
        <v>439</v>
      </c>
      <c r="D53" s="11" t="s">
        <v>440</v>
      </c>
      <c r="E53" s="11">
        <f t="shared" si="16"/>
        <v>1</v>
      </c>
      <c r="F53" s="7" t="s">
        <v>441</v>
      </c>
      <c r="G53" s="35">
        <v>1020000</v>
      </c>
      <c r="H53" s="9" t="s">
        <v>99</v>
      </c>
      <c r="I53" s="9" t="s">
        <v>175</v>
      </c>
      <c r="J53" s="9" t="s">
        <v>176</v>
      </c>
      <c r="K53" s="9" t="s">
        <v>100</v>
      </c>
      <c r="L53" s="9" t="s">
        <v>101</v>
      </c>
      <c r="N53" s="9" t="s">
        <v>264</v>
      </c>
      <c r="O53" s="9" t="s">
        <v>265</v>
      </c>
      <c r="P53" s="9" t="s">
        <v>266</v>
      </c>
      <c r="Q53" s="9" t="s">
        <v>211</v>
      </c>
      <c r="R53" s="9"/>
      <c r="S53" s="9" t="s">
        <v>200</v>
      </c>
      <c r="T53" s="5">
        <v>26</v>
      </c>
      <c r="V53" s="9" t="s">
        <v>442</v>
      </c>
      <c r="W53" s="9" t="str">
        <f t="shared" si="10"/>
        <v>15/05/2026</v>
      </c>
      <c r="X53" s="10">
        <f t="shared" ca="1" si="11"/>
        <v>46181</v>
      </c>
      <c r="Y53" s="31">
        <f t="shared" ref="Y53" ca="1" si="28">W53-X53</f>
        <v>-24</v>
      </c>
      <c r="Z53" s="32" t="str">
        <f t="shared" ref="Z53" ca="1" si="29">IF(Y53&lt;7,"Expira en menos de 7 días",IF(Y53&lt;15,"Expira en menos de 15 días",IF(Y53&lt;30,"Expira en menos de 30 días","En plazo de presentación")))</f>
        <v>Expira en menos de 7 días</v>
      </c>
      <c r="AA53" s="5">
        <v>40</v>
      </c>
      <c r="AC53" s="5">
        <v>60</v>
      </c>
      <c r="AD53" s="5">
        <f t="shared" si="15"/>
        <v>100</v>
      </c>
      <c r="AT53" s="7"/>
      <c r="AU53" s="7"/>
      <c r="AV53" s="7"/>
    </row>
    <row r="54" spans="1:48" x14ac:dyDescent="0.35">
      <c r="A54" s="36">
        <v>46126</v>
      </c>
      <c r="B54" s="7" t="s">
        <v>443</v>
      </c>
      <c r="D54" s="11" t="s">
        <v>444</v>
      </c>
      <c r="E54" s="11">
        <f t="shared" si="16"/>
        <v>1</v>
      </c>
      <c r="F54" s="7" t="s">
        <v>445</v>
      </c>
      <c r="G54" s="35">
        <v>5544000</v>
      </c>
      <c r="H54" s="9" t="s">
        <v>75</v>
      </c>
      <c r="I54" s="9" t="s">
        <v>175</v>
      </c>
      <c r="J54" s="9" t="s">
        <v>176</v>
      </c>
      <c r="K54" s="9" t="s">
        <v>76</v>
      </c>
      <c r="L54" s="9" t="s">
        <v>77</v>
      </c>
      <c r="N54" s="9" t="s">
        <v>236</v>
      </c>
      <c r="O54" s="9"/>
      <c r="P54" s="9" t="s">
        <v>446</v>
      </c>
      <c r="Q54" s="9" t="s">
        <v>275</v>
      </c>
      <c r="R54" s="9" t="s">
        <v>231</v>
      </c>
      <c r="S54" s="9" t="s">
        <v>200</v>
      </c>
      <c r="T54" s="5">
        <v>24</v>
      </c>
      <c r="V54" s="9" t="s">
        <v>447</v>
      </c>
      <c r="W54" s="9" t="str">
        <f t="shared" si="10"/>
        <v>28/04/2026</v>
      </c>
      <c r="X54" s="10">
        <f t="shared" ca="1" si="11"/>
        <v>46181</v>
      </c>
      <c r="Y54" s="31">
        <f t="shared" ref="Y54" ca="1" si="30">W54-X54</f>
        <v>-41</v>
      </c>
      <c r="Z54" s="32" t="str">
        <f t="shared" ref="Z54" ca="1" si="31">IF(Y54&lt;7,"Expira en menos de 7 días",IF(Y54&lt;15,"Expira en menos de 15 días",IF(Y54&lt;30,"Expira en menos de 30 días","En plazo de presentación")))</f>
        <v>Expira en menos de 7 días</v>
      </c>
      <c r="AA54" s="5">
        <v>100</v>
      </c>
      <c r="AD54" s="5">
        <f t="shared" si="15"/>
        <v>100</v>
      </c>
      <c r="AT54" s="7"/>
      <c r="AU54" s="7"/>
      <c r="AV54" s="7"/>
    </row>
    <row r="55" spans="1:48" ht="116" x14ac:dyDescent="0.35">
      <c r="A55" s="36">
        <v>46127</v>
      </c>
      <c r="B55" s="5" t="s">
        <v>448</v>
      </c>
      <c r="D55" s="42" t="s">
        <v>449</v>
      </c>
      <c r="E55" s="11">
        <f t="shared" si="16"/>
        <v>1</v>
      </c>
      <c r="F55" s="7" t="s">
        <v>450</v>
      </c>
      <c r="G55" s="35">
        <v>5600000</v>
      </c>
      <c r="H55" s="9" t="s">
        <v>56</v>
      </c>
      <c r="I55" s="9" t="s">
        <v>175</v>
      </c>
      <c r="J55" s="9" t="s">
        <v>176</v>
      </c>
      <c r="K55" s="9" t="s">
        <v>57</v>
      </c>
      <c r="L55" s="9" t="s">
        <v>58</v>
      </c>
      <c r="N55" s="9" t="s">
        <v>208</v>
      </c>
      <c r="O55" s="9" t="s">
        <v>209</v>
      </c>
      <c r="P55" s="9" t="s">
        <v>451</v>
      </c>
      <c r="Q55" s="9" t="s">
        <v>199</v>
      </c>
      <c r="R55" s="9" t="s">
        <v>180</v>
      </c>
      <c r="S55" s="9" t="s">
        <v>181</v>
      </c>
      <c r="V55" s="9" t="s">
        <v>452</v>
      </c>
      <c r="W55" s="9" t="str">
        <f t="shared" si="10"/>
        <v>25/02/2030</v>
      </c>
      <c r="X55" s="10">
        <f t="shared" ca="1" si="11"/>
        <v>46181</v>
      </c>
      <c r="Y55" s="31">
        <f t="shared" ref="Y55" ca="1" si="32">W55-X55</f>
        <v>1358</v>
      </c>
      <c r="Z55" s="32" t="str">
        <f t="shared" ref="Z55" ca="1" si="33">IF(Y55&lt;7,"Expira en menos de 7 días",IF(Y55&lt;15,"Expira en menos de 15 días",IF(Y55&lt;30,"Expira en menos de 30 días","En plazo de presentación")))</f>
        <v>En plazo de presentación</v>
      </c>
      <c r="AT55" s="7"/>
      <c r="AU55" s="7"/>
      <c r="AV55" s="7"/>
    </row>
    <row r="56" spans="1:48" ht="43.5" x14ac:dyDescent="0.35">
      <c r="A56" s="36">
        <v>46127</v>
      </c>
      <c r="B56" s="7" t="s">
        <v>453</v>
      </c>
      <c r="D56" s="42" t="s">
        <v>454</v>
      </c>
      <c r="E56" s="11">
        <f t="shared" si="16"/>
        <v>1</v>
      </c>
      <c r="F56" s="7" t="s">
        <v>455</v>
      </c>
      <c r="G56" s="35">
        <v>1830000</v>
      </c>
      <c r="H56" s="9" t="s">
        <v>99</v>
      </c>
      <c r="I56" s="9" t="s">
        <v>175</v>
      </c>
      <c r="J56" s="9" t="s">
        <v>176</v>
      </c>
      <c r="K56" s="9" t="s">
        <v>100</v>
      </c>
      <c r="L56" s="9" t="s">
        <v>101</v>
      </c>
      <c r="N56" s="9" t="s">
        <v>264</v>
      </c>
      <c r="O56" s="9" t="s">
        <v>265</v>
      </c>
      <c r="P56" s="9" t="s">
        <v>266</v>
      </c>
      <c r="Q56" s="9" t="s">
        <v>211</v>
      </c>
      <c r="R56" s="9" t="s">
        <v>212</v>
      </c>
      <c r="S56" s="9" t="s">
        <v>200</v>
      </c>
      <c r="T56" s="5">
        <v>36</v>
      </c>
      <c r="V56" s="9" t="s">
        <v>456</v>
      </c>
      <c r="W56" s="9" t="str">
        <f t="shared" si="10"/>
        <v>29/05/2026</v>
      </c>
      <c r="X56" s="10">
        <f t="shared" ca="1" si="11"/>
        <v>46181</v>
      </c>
      <c r="Y56" s="31">
        <f t="shared" ref="Y56" ca="1" si="34">W56-X56</f>
        <v>-10</v>
      </c>
      <c r="Z56" s="32" t="str">
        <f t="shared" ref="Z56" ca="1" si="35">IF(Y56&lt;7,"Expira en menos de 7 días",IF(Y56&lt;15,"Expira en menos de 15 días",IF(Y56&lt;30,"Expira en menos de 30 días","En plazo de presentación")))</f>
        <v>Expira en menos de 7 días</v>
      </c>
      <c r="AB56" s="5">
        <v>40</v>
      </c>
      <c r="AC56" s="5">
        <v>60</v>
      </c>
      <c r="AD56" s="5">
        <f t="shared" si="15"/>
        <v>100</v>
      </c>
      <c r="AT56" s="7"/>
      <c r="AU56" s="7"/>
      <c r="AV56" s="7"/>
    </row>
    <row r="57" spans="1:48" ht="43.5" x14ac:dyDescent="0.35">
      <c r="A57" s="36">
        <v>46127</v>
      </c>
      <c r="B57" s="7" t="s">
        <v>457</v>
      </c>
      <c r="D57" s="42" t="s">
        <v>458</v>
      </c>
      <c r="E57" s="11">
        <f t="shared" si="16"/>
        <v>1</v>
      </c>
      <c r="F57" s="7" t="s">
        <v>459</v>
      </c>
      <c r="G57" s="35">
        <v>1147830.3999999999</v>
      </c>
      <c r="H57" s="9" t="s">
        <v>85</v>
      </c>
      <c r="I57" s="9" t="s">
        <v>175</v>
      </c>
      <c r="J57" s="9" t="s">
        <v>176</v>
      </c>
      <c r="K57" s="9" t="s">
        <v>83</v>
      </c>
      <c r="L57" s="9" t="s">
        <v>86</v>
      </c>
      <c r="N57" s="9" t="s">
        <v>208</v>
      </c>
      <c r="O57" s="9" t="s">
        <v>209</v>
      </c>
      <c r="P57" s="9" t="s">
        <v>460</v>
      </c>
      <c r="Q57" s="9" t="s">
        <v>461</v>
      </c>
      <c r="R57" s="9" t="s">
        <v>212</v>
      </c>
      <c r="S57" s="9" t="s">
        <v>200</v>
      </c>
      <c r="T57" s="5">
        <v>60</v>
      </c>
      <c r="V57" s="9" t="s">
        <v>462</v>
      </c>
      <c r="W57" s="9" t="str">
        <f t="shared" si="10"/>
        <v>26/05/2026</v>
      </c>
      <c r="X57" s="10">
        <f t="shared" ca="1" si="11"/>
        <v>46181</v>
      </c>
      <c r="Y57" s="31">
        <f t="shared" ref="Y57" ca="1" si="36">W57-X57</f>
        <v>-13</v>
      </c>
      <c r="Z57" s="32" t="str">
        <f t="shared" ref="Z57" ca="1" si="37">IF(Y57&lt;7,"Expira en menos de 7 días",IF(Y57&lt;15,"Expira en menos de 15 días",IF(Y57&lt;30,"Expira en menos de 30 días","En plazo de presentación")))</f>
        <v>Expira en menos de 7 días</v>
      </c>
      <c r="AA57" s="5">
        <v>100</v>
      </c>
      <c r="AD57" s="5">
        <f t="shared" si="15"/>
        <v>100</v>
      </c>
      <c r="AT57" s="7"/>
      <c r="AU57" s="7"/>
      <c r="AV57" s="7"/>
    </row>
    <row r="58" spans="1:48" ht="29" x14ac:dyDescent="0.35">
      <c r="A58" s="36">
        <v>46125</v>
      </c>
      <c r="B58" s="7" t="s">
        <v>463</v>
      </c>
      <c r="D58" s="42" t="s">
        <v>464</v>
      </c>
      <c r="E58" s="11">
        <f t="shared" si="16"/>
        <v>1</v>
      </c>
      <c r="F58" s="7" t="s">
        <v>465</v>
      </c>
      <c r="G58" s="35">
        <v>2979078.46</v>
      </c>
      <c r="H58" s="9" t="s">
        <v>99</v>
      </c>
      <c r="I58" s="9" t="s">
        <v>175</v>
      </c>
      <c r="J58" s="9" t="s">
        <v>176</v>
      </c>
      <c r="K58" s="9" t="s">
        <v>100</v>
      </c>
      <c r="L58" s="9" t="s">
        <v>101</v>
      </c>
      <c r="N58" s="9" t="s">
        <v>352</v>
      </c>
      <c r="O58" s="9" t="s">
        <v>352</v>
      </c>
      <c r="P58" s="9" t="s">
        <v>466</v>
      </c>
      <c r="Q58" s="9" t="s">
        <v>199</v>
      </c>
      <c r="R58" s="9" t="s">
        <v>180</v>
      </c>
      <c r="S58" s="9" t="s">
        <v>200</v>
      </c>
      <c r="T58" s="5">
        <v>96</v>
      </c>
      <c r="V58" s="9" t="s">
        <v>430</v>
      </c>
      <c r="W58" s="9" t="str">
        <f t="shared" si="10"/>
        <v>18/05/2026</v>
      </c>
      <c r="X58" s="10">
        <f t="shared" ca="1" si="11"/>
        <v>46181</v>
      </c>
      <c r="Y58" s="31">
        <f t="shared" ref="Y58" ca="1" si="38">W58-X58</f>
        <v>-21</v>
      </c>
      <c r="Z58" s="32" t="str">
        <f t="shared" ref="Z58" ca="1" si="39">IF(Y58&lt;7,"Expira en menos de 7 días",IF(Y58&lt;15,"Expira en menos de 15 días",IF(Y58&lt;30,"Expira en menos de 30 días","En plazo de presentación")))</f>
        <v>Expira en menos de 7 días</v>
      </c>
      <c r="AB58" s="5">
        <v>80</v>
      </c>
      <c r="AC58" s="5">
        <v>20</v>
      </c>
      <c r="AD58" s="5">
        <f t="shared" si="15"/>
        <v>100</v>
      </c>
      <c r="AT58" s="7"/>
      <c r="AU58" s="7"/>
      <c r="AV58" s="7"/>
    </row>
    <row r="59" spans="1:48" ht="29" x14ac:dyDescent="0.35">
      <c r="A59" s="36">
        <v>46112</v>
      </c>
      <c r="B59" s="7" t="s">
        <v>392</v>
      </c>
      <c r="C59" s="7" t="s">
        <v>467</v>
      </c>
      <c r="D59" s="42" t="s">
        <v>393</v>
      </c>
      <c r="E59" s="37">
        <f t="shared" si="16"/>
        <v>2</v>
      </c>
      <c r="F59" s="7" t="s">
        <v>394</v>
      </c>
      <c r="G59" s="35">
        <v>3101083.45</v>
      </c>
      <c r="H59" s="9" t="s">
        <v>99</v>
      </c>
      <c r="I59" s="9" t="s">
        <v>175</v>
      </c>
      <c r="J59" s="9" t="s">
        <v>176</v>
      </c>
      <c r="K59" s="9" t="s">
        <v>100</v>
      </c>
      <c r="L59" s="9" t="s">
        <v>101</v>
      </c>
      <c r="N59" s="9" t="s">
        <v>208</v>
      </c>
      <c r="O59" s="9"/>
      <c r="P59" s="9" t="s">
        <v>395</v>
      </c>
      <c r="Q59" s="9" t="s">
        <v>199</v>
      </c>
      <c r="R59" s="9" t="s">
        <v>180</v>
      </c>
      <c r="S59" s="9" t="s">
        <v>200</v>
      </c>
      <c r="T59" s="5">
        <v>14</v>
      </c>
      <c r="V59" s="9" t="s">
        <v>468</v>
      </c>
      <c r="W59" s="9" t="str">
        <f t="shared" si="10"/>
        <v>15/05/2026</v>
      </c>
      <c r="X59" s="10">
        <f t="shared" ca="1" si="11"/>
        <v>46181</v>
      </c>
      <c r="Y59" s="31">
        <f t="shared" ref="Y59" ca="1" si="40">W59-X59</f>
        <v>-24</v>
      </c>
      <c r="Z59" s="32" t="str">
        <f t="shared" ref="Z59" ca="1" si="41">IF(Y59&lt;7,"Expira en menos de 7 días",IF(Y59&lt;15,"Expira en menos de 15 días",IF(Y59&lt;30,"Expira en menos de 30 días","En plazo de presentación")))</f>
        <v>Expira en menos de 7 días</v>
      </c>
      <c r="AA59" s="5">
        <v>60</v>
      </c>
      <c r="AB59" s="5">
        <v>25</v>
      </c>
      <c r="AC59" s="5">
        <v>15</v>
      </c>
      <c r="AD59" s="5">
        <f t="shared" si="15"/>
        <v>100</v>
      </c>
      <c r="AT59" s="7"/>
      <c r="AU59" s="7"/>
      <c r="AV59" s="7"/>
    </row>
    <row r="60" spans="1:48" ht="29" x14ac:dyDescent="0.35">
      <c r="A60" s="36">
        <v>46129</v>
      </c>
      <c r="B60" s="7" t="s">
        <v>469</v>
      </c>
      <c r="D60" s="11" t="s">
        <v>470</v>
      </c>
      <c r="E60" s="11">
        <f t="shared" si="16"/>
        <v>1</v>
      </c>
      <c r="F60" s="7" t="s">
        <v>471</v>
      </c>
      <c r="G60" s="35">
        <v>1915431</v>
      </c>
      <c r="H60" s="9" t="s">
        <v>85</v>
      </c>
      <c r="I60" s="9" t="s">
        <v>175</v>
      </c>
      <c r="J60" s="9" t="s">
        <v>176</v>
      </c>
      <c r="K60" s="9" t="s">
        <v>83</v>
      </c>
      <c r="L60" s="9" t="s">
        <v>86</v>
      </c>
      <c r="N60" s="9" t="s">
        <v>223</v>
      </c>
      <c r="O60" s="9" t="s">
        <v>224</v>
      </c>
      <c r="P60" s="9" t="s">
        <v>472</v>
      </c>
      <c r="Q60" s="9" t="s">
        <v>211</v>
      </c>
      <c r="R60" s="9" t="s">
        <v>180</v>
      </c>
      <c r="S60" s="9" t="s">
        <v>267</v>
      </c>
      <c r="T60" s="5">
        <v>24</v>
      </c>
      <c r="U60" s="5">
        <v>24</v>
      </c>
      <c r="V60" s="9" t="s">
        <v>473</v>
      </c>
      <c r="W60" s="9" t="str">
        <f t="shared" si="10"/>
        <v>14/05/2026</v>
      </c>
      <c r="X60" s="10">
        <f t="shared" ca="1" si="11"/>
        <v>46181</v>
      </c>
      <c r="Y60" s="31">
        <f t="shared" ref="Y60" ca="1" si="42">W60-X60</f>
        <v>-25</v>
      </c>
      <c r="Z60" s="32" t="str">
        <f t="shared" ref="Z60" ca="1" si="43">IF(Y60&lt;7,"Expira en menos de 7 días",IF(Y60&lt;15,"Expira en menos de 15 días",IF(Y60&lt;30,"Expira en menos de 30 días","En plazo de presentación")))</f>
        <v>Expira en menos de 7 días</v>
      </c>
      <c r="AA60" s="5">
        <v>73</v>
      </c>
      <c r="AB60" s="5">
        <v>27</v>
      </c>
      <c r="AD60" s="5">
        <f t="shared" si="15"/>
        <v>100</v>
      </c>
      <c r="AT60" s="7"/>
      <c r="AU60" s="7"/>
      <c r="AV60" s="7"/>
    </row>
    <row r="61" spans="1:48" ht="58" x14ac:dyDescent="0.35">
      <c r="A61" s="36">
        <v>46134</v>
      </c>
      <c r="B61" s="7" t="s">
        <v>474</v>
      </c>
      <c r="D61" s="11" t="s">
        <v>475</v>
      </c>
      <c r="E61" s="11">
        <f t="shared" si="16"/>
        <v>1</v>
      </c>
      <c r="F61" s="7" t="s">
        <v>476</v>
      </c>
      <c r="G61" s="35">
        <v>2800000</v>
      </c>
      <c r="H61" s="9" t="s">
        <v>48</v>
      </c>
      <c r="I61" s="9" t="s">
        <v>175</v>
      </c>
      <c r="J61" s="9" t="s">
        <v>176</v>
      </c>
      <c r="K61" s="9" t="s">
        <v>50</v>
      </c>
      <c r="L61" s="9" t="s">
        <v>51</v>
      </c>
      <c r="N61" s="9" t="s">
        <v>477</v>
      </c>
      <c r="O61" s="9" t="s">
        <v>477</v>
      </c>
      <c r="P61" s="9" t="s">
        <v>478</v>
      </c>
      <c r="Q61" s="9" t="s">
        <v>381</v>
      </c>
      <c r="R61" s="9" t="s">
        <v>180</v>
      </c>
      <c r="S61" s="9" t="s">
        <v>200</v>
      </c>
      <c r="T61" s="5">
        <v>6</v>
      </c>
      <c r="V61" s="9" t="s">
        <v>479</v>
      </c>
      <c r="W61" s="9" t="str">
        <f t="shared" si="10"/>
        <v>26/05/2026</v>
      </c>
      <c r="X61" s="10">
        <f t="shared" ca="1" si="11"/>
        <v>46181</v>
      </c>
      <c r="Y61" s="44">
        <f t="shared" ref="Y61" ca="1" si="44">W61-X61</f>
        <v>-13</v>
      </c>
      <c r="Z61" s="32" t="str">
        <f t="shared" ref="Z61" ca="1" si="45">IF(Y61&lt;7,"Expira en menos de 7 días",IF(Y61&lt;15,"Expira en menos de 15 días",IF(Y61&lt;30,"Expira en menos de 30 días","En plazo de presentación")))</f>
        <v>Expira en menos de 7 días</v>
      </c>
      <c r="AA61" s="5">
        <v>30</v>
      </c>
      <c r="AC61" s="5">
        <v>70</v>
      </c>
      <c r="AD61" s="5">
        <f t="shared" si="15"/>
        <v>100</v>
      </c>
      <c r="AE61" s="5" t="s">
        <v>316</v>
      </c>
      <c r="AT61" s="7"/>
      <c r="AU61" s="7"/>
      <c r="AV61" s="7"/>
    </row>
    <row r="62" spans="1:48" ht="116" x14ac:dyDescent="0.35">
      <c r="A62" s="36">
        <v>46154</v>
      </c>
      <c r="B62" s="7" t="s">
        <v>355</v>
      </c>
      <c r="C62" s="7" t="s">
        <v>480</v>
      </c>
      <c r="D62" s="11" t="s">
        <v>356</v>
      </c>
      <c r="E62" s="37">
        <f t="shared" si="16"/>
        <v>2</v>
      </c>
      <c r="F62" s="7" t="s">
        <v>357</v>
      </c>
      <c r="G62" s="35">
        <v>2396529.64</v>
      </c>
      <c r="H62" s="9" t="s">
        <v>99</v>
      </c>
      <c r="I62" s="9" t="s">
        <v>175</v>
      </c>
      <c r="J62" s="9" t="s">
        <v>176</v>
      </c>
      <c r="K62" s="9" t="s">
        <v>100</v>
      </c>
      <c r="L62" s="9" t="s">
        <v>101</v>
      </c>
      <c r="N62" s="9" t="s">
        <v>264</v>
      </c>
      <c r="O62" s="9"/>
      <c r="P62" s="9" t="s">
        <v>358</v>
      </c>
      <c r="Q62" s="9" t="s">
        <v>359</v>
      </c>
      <c r="R62" s="9" t="s">
        <v>360</v>
      </c>
      <c r="S62" s="9" t="s">
        <v>200</v>
      </c>
      <c r="T62" s="5">
        <v>30</v>
      </c>
      <c r="U62" s="5">
        <v>30</v>
      </c>
      <c r="V62" s="9" t="s">
        <v>409</v>
      </c>
      <c r="W62" s="9" t="str">
        <f t="shared" si="10"/>
        <v>12/05/2026</v>
      </c>
      <c r="X62" s="10">
        <f t="shared" ca="1" si="11"/>
        <v>46181</v>
      </c>
      <c r="Y62" s="31">
        <f t="shared" ref="Y62" ca="1" si="46">W62-X62</f>
        <v>-27</v>
      </c>
      <c r="Z62" s="32" t="str">
        <f t="shared" ref="Z62" ca="1" si="47">IF(Y62&lt;7,"Expira en menos de 7 días",IF(Y62&lt;15,"Expira en menos de 15 días",IF(Y62&lt;30,"Expira en menos de 30 días","En plazo de presentación")))</f>
        <v>Expira en menos de 7 días</v>
      </c>
      <c r="AA62" s="5">
        <v>49</v>
      </c>
      <c r="AB62" s="5">
        <v>51</v>
      </c>
      <c r="AD62" s="5">
        <f t="shared" si="15"/>
        <v>100</v>
      </c>
      <c r="AT62" s="7"/>
      <c r="AU62" s="7"/>
      <c r="AV62" s="7"/>
    </row>
    <row r="63" spans="1:48" ht="29" x14ac:dyDescent="0.35">
      <c r="A63" s="36">
        <v>46135</v>
      </c>
      <c r="B63" s="7" t="s">
        <v>481</v>
      </c>
      <c r="D63" s="11" t="s">
        <v>482</v>
      </c>
      <c r="E63" s="11">
        <f t="shared" si="16"/>
        <v>1</v>
      </c>
      <c r="F63" s="7" t="s">
        <v>483</v>
      </c>
      <c r="G63" s="35">
        <v>1937279.1</v>
      </c>
      <c r="H63" s="9" t="s">
        <v>99</v>
      </c>
      <c r="I63" s="9" t="s">
        <v>175</v>
      </c>
      <c r="J63" s="9" t="s">
        <v>176</v>
      </c>
      <c r="K63" s="9" t="s">
        <v>100</v>
      </c>
      <c r="L63" s="9" t="s">
        <v>101</v>
      </c>
      <c r="N63" s="9" t="s">
        <v>208</v>
      </c>
      <c r="O63" s="9" t="s">
        <v>209</v>
      </c>
      <c r="P63" s="9" t="s">
        <v>484</v>
      </c>
      <c r="Q63" s="9" t="s">
        <v>199</v>
      </c>
      <c r="R63" s="9" t="s">
        <v>180</v>
      </c>
      <c r="S63" s="9" t="s">
        <v>200</v>
      </c>
      <c r="T63" s="5">
        <v>24</v>
      </c>
      <c r="V63" s="9" t="s">
        <v>485</v>
      </c>
      <c r="W63" s="9" t="str">
        <f t="shared" si="10"/>
        <v>11/05/2026</v>
      </c>
      <c r="X63" s="10">
        <f t="shared" ca="1" si="11"/>
        <v>46181</v>
      </c>
      <c r="Y63" s="31">
        <f t="shared" ref="Y63" ca="1" si="48">W63-X63</f>
        <v>-28</v>
      </c>
      <c r="Z63" s="32" t="str">
        <f t="shared" ref="Z63" ca="1" si="49">IF(Y63&lt;7,"Expira en menos de 7 días",IF(Y63&lt;15,"Expira en menos de 15 días",IF(Y63&lt;30,"Expira en menos de 30 días","En plazo de presentación")))</f>
        <v>Expira en menos de 7 días</v>
      </c>
      <c r="AA63" s="5">
        <v>40</v>
      </c>
      <c r="AB63" s="5">
        <v>35</v>
      </c>
      <c r="AC63" s="5">
        <v>25</v>
      </c>
      <c r="AD63" s="5">
        <f t="shared" si="15"/>
        <v>100</v>
      </c>
      <c r="AT63" s="7"/>
      <c r="AU63" s="7"/>
      <c r="AV63" s="7"/>
    </row>
    <row r="64" spans="1:48" ht="58" x14ac:dyDescent="0.35">
      <c r="A64" s="36">
        <v>46139</v>
      </c>
      <c r="B64" s="7" t="s">
        <v>486</v>
      </c>
      <c r="D64" s="11" t="s">
        <v>487</v>
      </c>
      <c r="E64" s="11">
        <f t="shared" si="16"/>
        <v>1</v>
      </c>
      <c r="F64" s="7" t="s">
        <v>488</v>
      </c>
      <c r="G64" s="35">
        <v>1322314.04</v>
      </c>
      <c r="H64" s="9" t="s">
        <v>99</v>
      </c>
      <c r="I64" s="9" t="s">
        <v>175</v>
      </c>
      <c r="J64" s="9" t="s">
        <v>176</v>
      </c>
      <c r="K64" s="9" t="s">
        <v>100</v>
      </c>
      <c r="L64" s="9" t="s">
        <v>101</v>
      </c>
      <c r="N64" s="9" t="s">
        <v>489</v>
      </c>
      <c r="O64" s="9"/>
      <c r="P64" s="9" t="s">
        <v>490</v>
      </c>
      <c r="Q64" s="9" t="s">
        <v>239</v>
      </c>
      <c r="R64" s="9" t="s">
        <v>491</v>
      </c>
      <c r="S64" s="9" t="s">
        <v>200</v>
      </c>
      <c r="T64" s="5">
        <v>48</v>
      </c>
      <c r="U64" s="5">
        <v>12</v>
      </c>
      <c r="V64" s="9" t="s">
        <v>492</v>
      </c>
      <c r="W64" s="9" t="str">
        <f t="shared" si="10"/>
        <v>25/05/2026</v>
      </c>
      <c r="X64" s="10">
        <f t="shared" ca="1" si="11"/>
        <v>46181</v>
      </c>
      <c r="Y64" s="31">
        <f t="shared" ref="Y64" ca="1" si="50">W64-X64</f>
        <v>-14</v>
      </c>
      <c r="Z64" s="32" t="str">
        <f t="shared" ref="Z64" ca="1" si="51">IF(Y64&lt;7,"Expira en menos de 7 días",IF(Y64&lt;15,"Expira en menos de 15 días",IF(Y64&lt;30,"Expira en menos de 30 días","En plazo de presentación")))</f>
        <v>Expira en menos de 7 días</v>
      </c>
      <c r="AA64" s="5">
        <v>60</v>
      </c>
      <c r="AB64" s="5">
        <v>40</v>
      </c>
      <c r="AD64" s="5">
        <f t="shared" si="15"/>
        <v>100</v>
      </c>
      <c r="AT64" s="7"/>
      <c r="AU64" s="7"/>
      <c r="AV64" s="7"/>
    </row>
    <row r="65" spans="1:48" ht="145" x14ac:dyDescent="0.35">
      <c r="A65" s="36">
        <v>46138</v>
      </c>
      <c r="B65" s="7" t="s">
        <v>493</v>
      </c>
      <c r="D65" s="11" t="s">
        <v>494</v>
      </c>
      <c r="E65" s="11">
        <f t="shared" si="16"/>
        <v>1</v>
      </c>
      <c r="F65" s="7" t="s">
        <v>495</v>
      </c>
      <c r="G65" s="35">
        <v>1288326</v>
      </c>
      <c r="H65" s="9" t="s">
        <v>89</v>
      </c>
      <c r="I65" s="9" t="s">
        <v>175</v>
      </c>
      <c r="J65" s="9" t="s">
        <v>176</v>
      </c>
      <c r="K65" s="9" t="s">
        <v>83</v>
      </c>
      <c r="L65" s="9" t="s">
        <v>90</v>
      </c>
      <c r="N65" s="9" t="s">
        <v>177</v>
      </c>
      <c r="O65" s="9" t="s">
        <v>413</v>
      </c>
      <c r="P65" s="9" t="s">
        <v>496</v>
      </c>
      <c r="Q65" s="9" t="s">
        <v>287</v>
      </c>
      <c r="R65" s="9" t="s">
        <v>240</v>
      </c>
      <c r="S65" s="9" t="s">
        <v>200</v>
      </c>
      <c r="T65" s="5">
        <v>48</v>
      </c>
      <c r="U65" s="5">
        <v>12</v>
      </c>
      <c r="V65" s="9" t="s">
        <v>497</v>
      </c>
      <c r="W65" s="9" t="str">
        <f t="shared" si="10"/>
        <v>25/05/2026</v>
      </c>
      <c r="X65" s="10">
        <f t="shared" ca="1" si="11"/>
        <v>46181</v>
      </c>
      <c r="Y65" s="31">
        <f t="shared" ref="Y65" ca="1" si="52">W65-X65</f>
        <v>-14</v>
      </c>
      <c r="Z65" s="32" t="str">
        <f t="shared" ref="Z65" ca="1" si="53">IF(Y65&lt;7,"Expira en menos de 7 días",IF(Y65&lt;15,"Expira en menos de 15 días",IF(Y65&lt;30,"Expira en menos de 30 días","En plazo de presentación")))</f>
        <v>Expira en menos de 7 días</v>
      </c>
      <c r="AA65" s="5">
        <v>40</v>
      </c>
      <c r="AB65" s="5">
        <v>40</v>
      </c>
      <c r="AC65" s="5">
        <v>20</v>
      </c>
      <c r="AD65" s="5">
        <f t="shared" si="15"/>
        <v>100</v>
      </c>
      <c r="AT65" s="7"/>
      <c r="AU65" s="7"/>
      <c r="AV65" s="7"/>
    </row>
    <row r="66" spans="1:48" ht="46.5" customHeight="1" x14ac:dyDescent="0.35">
      <c r="A66" s="36">
        <v>46140</v>
      </c>
      <c r="B66" s="7" t="s">
        <v>498</v>
      </c>
      <c r="D66" s="11" t="s">
        <v>499</v>
      </c>
      <c r="E66" s="11">
        <f t="shared" ref="E66:E99" si="54">COUNTIF(D:D,D66)</f>
        <v>1</v>
      </c>
      <c r="F66" s="7" t="s">
        <v>500</v>
      </c>
      <c r="G66" s="35">
        <v>3745440</v>
      </c>
      <c r="H66" s="9" t="s">
        <v>99</v>
      </c>
      <c r="I66" s="9" t="s">
        <v>175</v>
      </c>
      <c r="J66" s="9" t="s">
        <v>176</v>
      </c>
      <c r="K66" s="9" t="s">
        <v>100</v>
      </c>
      <c r="L66" s="9" t="s">
        <v>101</v>
      </c>
      <c r="N66" s="9" t="s">
        <v>223</v>
      </c>
      <c r="O66" s="9" t="s">
        <v>340</v>
      </c>
      <c r="P66" s="9" t="s">
        <v>501</v>
      </c>
      <c r="Q66" s="9" t="s">
        <v>211</v>
      </c>
      <c r="R66" s="9" t="s">
        <v>212</v>
      </c>
      <c r="S66" s="9" t="s">
        <v>267</v>
      </c>
      <c r="T66" s="5">
        <v>48</v>
      </c>
      <c r="V66" s="9" t="s">
        <v>456</v>
      </c>
      <c r="W66" s="9" t="str">
        <f t="shared" si="10"/>
        <v>29/05/2026</v>
      </c>
      <c r="X66" s="10">
        <f t="shared" ca="1" si="11"/>
        <v>46181</v>
      </c>
      <c r="Y66" s="31">
        <f t="shared" ref="Y66" ca="1" si="55">W66-X66</f>
        <v>-10</v>
      </c>
      <c r="Z66" s="32" t="str">
        <f t="shared" ref="Z66" ca="1" si="56">IF(Y66&lt;7,"Expira en menos de 7 días",IF(Y66&lt;15,"Expira en menos de 15 días",IF(Y66&lt;30,"Expira en menos de 30 días","En plazo de presentación")))</f>
        <v>Expira en menos de 7 días</v>
      </c>
      <c r="AA66" s="5">
        <v>44</v>
      </c>
      <c r="AB66" s="5">
        <v>56</v>
      </c>
      <c r="AD66" s="5">
        <f t="shared" si="15"/>
        <v>100</v>
      </c>
      <c r="AT66" s="7"/>
      <c r="AU66" s="7"/>
      <c r="AV66" s="7"/>
    </row>
    <row r="67" spans="1:48" ht="43.5" x14ac:dyDescent="0.35">
      <c r="A67" s="36">
        <v>46144</v>
      </c>
      <c r="B67" s="7" t="s">
        <v>502</v>
      </c>
      <c r="D67" s="11" t="s">
        <v>503</v>
      </c>
      <c r="E67" s="11">
        <f t="shared" si="54"/>
        <v>1</v>
      </c>
      <c r="F67" s="7" t="s">
        <v>504</v>
      </c>
      <c r="G67" s="35">
        <v>1164157.04</v>
      </c>
      <c r="H67" s="9" t="s">
        <v>56</v>
      </c>
      <c r="I67" s="9" t="s">
        <v>175</v>
      </c>
      <c r="J67" s="9" t="s">
        <v>176</v>
      </c>
      <c r="K67" s="9" t="s">
        <v>57</v>
      </c>
      <c r="L67" s="9" t="s">
        <v>58</v>
      </c>
      <c r="N67" s="9" t="s">
        <v>419</v>
      </c>
      <c r="O67" s="9" t="s">
        <v>420</v>
      </c>
      <c r="P67" s="9" t="s">
        <v>421</v>
      </c>
      <c r="Q67" s="9" t="s">
        <v>239</v>
      </c>
      <c r="R67" s="9"/>
      <c r="S67" s="9" t="s">
        <v>200</v>
      </c>
      <c r="T67" s="5">
        <v>4</v>
      </c>
      <c r="V67" s="9" t="s">
        <v>505</v>
      </c>
      <c r="W67" s="9" t="str">
        <f t="shared" si="10"/>
        <v>01/06/2026</v>
      </c>
      <c r="X67" s="10">
        <f t="shared" ca="1" si="11"/>
        <v>46181</v>
      </c>
      <c r="Y67" s="31">
        <f t="shared" ref="Y67" ca="1" si="57">W67-X67</f>
        <v>-7</v>
      </c>
      <c r="Z67" s="32" t="str">
        <f t="shared" ref="Z67" ca="1" si="58">IF(Y67&lt;7,"Expira en menos de 7 días",IF(Y67&lt;15,"Expira en menos de 15 días",IF(Y67&lt;30,"Expira en menos de 30 días","En plazo de presentación")))</f>
        <v>Expira en menos de 7 días</v>
      </c>
      <c r="AA67" s="5">
        <v>46</v>
      </c>
      <c r="AB67" s="5">
        <v>5</v>
      </c>
      <c r="AC67" s="5">
        <v>49</v>
      </c>
      <c r="AD67" s="5">
        <f t="shared" si="15"/>
        <v>100</v>
      </c>
      <c r="AT67" s="7"/>
      <c r="AU67" s="7"/>
      <c r="AV67" s="7"/>
    </row>
    <row r="68" spans="1:48" ht="58" x14ac:dyDescent="0.35">
      <c r="A68" s="36">
        <v>46148</v>
      </c>
      <c r="B68" s="7" t="s">
        <v>506</v>
      </c>
      <c r="D68" s="11" t="s">
        <v>507</v>
      </c>
      <c r="E68" s="11">
        <f t="shared" si="54"/>
        <v>1</v>
      </c>
      <c r="F68" s="7" t="s">
        <v>508</v>
      </c>
      <c r="G68" s="35">
        <v>2000000</v>
      </c>
      <c r="H68" s="9" t="s">
        <v>56</v>
      </c>
      <c r="I68" s="9" t="s">
        <v>175</v>
      </c>
      <c r="J68" s="9" t="s">
        <v>176</v>
      </c>
      <c r="K68" s="9" t="s">
        <v>57</v>
      </c>
      <c r="L68" s="9" t="s">
        <v>58</v>
      </c>
      <c r="N68" s="9" t="s">
        <v>509</v>
      </c>
      <c r="O68" s="9" t="s">
        <v>510</v>
      </c>
      <c r="P68" s="9" t="s">
        <v>511</v>
      </c>
      <c r="Q68" s="9" t="s">
        <v>199</v>
      </c>
      <c r="R68" s="9"/>
      <c r="S68" s="9" t="s">
        <v>267</v>
      </c>
      <c r="T68" s="5">
        <v>24</v>
      </c>
      <c r="U68" s="5">
        <v>24</v>
      </c>
      <c r="V68" s="9" t="s">
        <v>512</v>
      </c>
      <c r="W68" s="9" t="str">
        <f t="shared" si="10"/>
        <v>05/06/2026</v>
      </c>
      <c r="X68" s="10">
        <f t="shared" ca="1" si="11"/>
        <v>46181</v>
      </c>
      <c r="Y68" s="31">
        <f t="shared" ref="Y68" ca="1" si="59">W68-X68</f>
        <v>-3</v>
      </c>
      <c r="Z68" s="32" t="str">
        <f t="shared" ref="Z68" ca="1" si="60">IF(Y68&lt;7,"Expira en menos de 7 días",IF(Y68&lt;15,"Expira en menos de 15 días",IF(Y68&lt;30,"Expira en menos de 30 días","En plazo de presentación")))</f>
        <v>Expira en menos de 7 días</v>
      </c>
      <c r="AA68" s="5">
        <v>75</v>
      </c>
      <c r="AB68" s="5">
        <v>25</v>
      </c>
      <c r="AD68" s="5">
        <f t="shared" si="15"/>
        <v>100</v>
      </c>
      <c r="AT68" s="7"/>
      <c r="AU68" s="7"/>
      <c r="AV68" s="7"/>
    </row>
    <row r="69" spans="1:48" ht="58" x14ac:dyDescent="0.35">
      <c r="A69" s="36">
        <v>46148</v>
      </c>
      <c r="B69" s="7" t="s">
        <v>513</v>
      </c>
      <c r="D69" s="11" t="s">
        <v>514</v>
      </c>
      <c r="E69" s="11">
        <f t="shared" si="54"/>
        <v>1</v>
      </c>
      <c r="F69" s="7" t="s">
        <v>515</v>
      </c>
      <c r="G69" s="35">
        <v>2000000</v>
      </c>
      <c r="H69" s="9" t="s">
        <v>56</v>
      </c>
      <c r="I69" s="9" t="s">
        <v>175</v>
      </c>
      <c r="J69" s="9" t="s">
        <v>176</v>
      </c>
      <c r="K69" s="9" t="s">
        <v>57</v>
      </c>
      <c r="L69" s="9" t="s">
        <v>58</v>
      </c>
      <c r="N69" s="9" t="s">
        <v>509</v>
      </c>
      <c r="O69" s="9" t="s">
        <v>510</v>
      </c>
      <c r="P69" s="9" t="s">
        <v>511</v>
      </c>
      <c r="Q69" s="9" t="s">
        <v>199</v>
      </c>
      <c r="R69" s="9"/>
      <c r="S69" s="9" t="s">
        <v>267</v>
      </c>
      <c r="T69" s="5">
        <v>24</v>
      </c>
      <c r="U69" s="5">
        <v>24</v>
      </c>
      <c r="V69" s="9" t="s">
        <v>512</v>
      </c>
      <c r="W69" s="9" t="str">
        <f t="shared" ref="W69:W73" si="61">MID(V69,1,10)</f>
        <v>05/06/2026</v>
      </c>
      <c r="X69" s="10">
        <f t="shared" ca="1" si="11"/>
        <v>46181</v>
      </c>
      <c r="Y69" s="31">
        <f t="shared" ref="Y69" ca="1" si="62">W69-X69</f>
        <v>-3</v>
      </c>
      <c r="Z69" s="32" t="str">
        <f t="shared" ref="Z69" ca="1" si="63">IF(Y69&lt;7,"Expira en menos de 7 días",IF(Y69&lt;15,"Expira en menos de 15 días",IF(Y69&lt;30,"Expira en menos de 30 días","En plazo de presentación")))</f>
        <v>Expira en menos de 7 días</v>
      </c>
      <c r="AT69" s="7"/>
      <c r="AU69" s="7"/>
      <c r="AV69" s="7"/>
    </row>
    <row r="70" spans="1:48" ht="130.5" x14ac:dyDescent="0.35">
      <c r="A70" s="36">
        <v>46149</v>
      </c>
      <c r="B70" s="7" t="s">
        <v>516</v>
      </c>
      <c r="D70" s="11" t="s">
        <v>517</v>
      </c>
      <c r="E70" s="11">
        <f t="shared" si="54"/>
        <v>1</v>
      </c>
      <c r="F70" s="7" t="s">
        <v>518</v>
      </c>
      <c r="G70" s="35">
        <v>4431781.75</v>
      </c>
      <c r="H70" s="9" t="s">
        <v>91</v>
      </c>
      <c r="I70" s="9" t="s">
        <v>175</v>
      </c>
      <c r="J70" s="9" t="s">
        <v>176</v>
      </c>
      <c r="K70" s="9" t="s">
        <v>83</v>
      </c>
      <c r="L70" s="9" t="s">
        <v>92</v>
      </c>
      <c r="N70" s="9" t="s">
        <v>264</v>
      </c>
      <c r="O70" s="9"/>
      <c r="P70" s="9" t="s">
        <v>327</v>
      </c>
      <c r="Q70" s="9" t="s">
        <v>287</v>
      </c>
      <c r="R70" s="9"/>
      <c r="S70" s="9" t="s">
        <v>200</v>
      </c>
      <c r="V70" s="9" t="s">
        <v>505</v>
      </c>
      <c r="W70" s="9" t="str">
        <f t="shared" si="61"/>
        <v>01/06/2026</v>
      </c>
      <c r="X70" s="10">
        <f t="shared" ca="1" si="11"/>
        <v>46181</v>
      </c>
      <c r="Y70" s="31">
        <f t="shared" ref="Y70" ca="1" si="64">W70-X70</f>
        <v>-7</v>
      </c>
      <c r="Z70" s="32" t="str">
        <f t="shared" ref="Z70" ca="1" si="65">IF(Y70&lt;7,"Expira en menos de 7 días",IF(Y70&lt;15,"Expira en menos de 15 días",IF(Y70&lt;30,"Expira en menos de 30 días","En plazo de presentación")))</f>
        <v>Expira en menos de 7 días</v>
      </c>
      <c r="AA70" s="5">
        <v>51</v>
      </c>
      <c r="AC70" s="5">
        <v>49</v>
      </c>
      <c r="AD70" s="5">
        <f t="shared" si="15"/>
        <v>100</v>
      </c>
      <c r="AT70" s="7"/>
      <c r="AU70" s="7"/>
      <c r="AV70" s="7"/>
    </row>
    <row r="71" spans="1:48" x14ac:dyDescent="0.35">
      <c r="A71" s="36">
        <v>46151</v>
      </c>
      <c r="B71" s="7" t="s">
        <v>519</v>
      </c>
      <c r="D71" s="11" t="s">
        <v>520</v>
      </c>
      <c r="E71" s="11">
        <f t="shared" si="54"/>
        <v>1</v>
      </c>
      <c r="F71" s="7" t="s">
        <v>244</v>
      </c>
      <c r="G71" s="35">
        <v>1998590.5</v>
      </c>
      <c r="H71" s="9" t="s">
        <v>91</v>
      </c>
      <c r="I71" s="9" t="s">
        <v>175</v>
      </c>
      <c r="J71" s="9" t="s">
        <v>176</v>
      </c>
      <c r="K71" s="9" t="s">
        <v>83</v>
      </c>
      <c r="L71" s="9" t="s">
        <v>92</v>
      </c>
      <c r="N71" s="9" t="s">
        <v>208</v>
      </c>
      <c r="O71" s="9" t="s">
        <v>209</v>
      </c>
      <c r="P71" s="9" t="s">
        <v>217</v>
      </c>
      <c r="Q71" s="9" t="s">
        <v>218</v>
      </c>
      <c r="R71" s="9"/>
      <c r="S71" s="9" t="s">
        <v>200</v>
      </c>
      <c r="T71" s="5">
        <v>3</v>
      </c>
      <c r="V71" s="9" t="s">
        <v>521</v>
      </c>
      <c r="W71" s="9" t="str">
        <f t="shared" si="61"/>
        <v>11/06/2026</v>
      </c>
      <c r="X71" s="10">
        <f t="shared" ca="1" si="11"/>
        <v>46181</v>
      </c>
      <c r="Y71" s="31">
        <f t="shared" ref="Y71" ca="1" si="66">W71-X71</f>
        <v>3</v>
      </c>
      <c r="Z71" s="32" t="str">
        <f t="shared" ref="Z71" ca="1" si="67">IF(Y71&lt;7,"Expira en menos de 7 días",IF(Y71&lt;15,"Expira en menos de 15 días",IF(Y71&lt;30,"Expira en menos de 30 días","En plazo de presentación")))</f>
        <v>Expira en menos de 7 días</v>
      </c>
      <c r="AA71" s="5">
        <v>60</v>
      </c>
      <c r="AB71" s="5">
        <v>20</v>
      </c>
      <c r="AC71" s="5">
        <v>20</v>
      </c>
      <c r="AD71" s="5">
        <f t="shared" si="15"/>
        <v>100</v>
      </c>
      <c r="AF71" s="5" t="s">
        <v>522</v>
      </c>
      <c r="AT71" s="7"/>
      <c r="AU71" s="7"/>
      <c r="AV71" s="7"/>
    </row>
    <row r="72" spans="1:48" x14ac:dyDescent="0.35">
      <c r="A72" s="36">
        <v>46152</v>
      </c>
      <c r="B72" s="43" t="s">
        <v>523</v>
      </c>
      <c r="D72" s="11" t="s">
        <v>524</v>
      </c>
      <c r="E72" s="11">
        <f t="shared" si="54"/>
        <v>1</v>
      </c>
      <c r="F72" s="7" t="s">
        <v>525</v>
      </c>
      <c r="G72" s="35">
        <v>65942180.829999998</v>
      </c>
      <c r="H72" s="9" t="s">
        <v>99</v>
      </c>
      <c r="I72" s="9" t="s">
        <v>175</v>
      </c>
      <c r="J72" s="9" t="s">
        <v>176</v>
      </c>
      <c r="K72" s="9" t="s">
        <v>100</v>
      </c>
      <c r="L72" s="9" t="s">
        <v>101</v>
      </c>
      <c r="N72" s="9" t="s">
        <v>526</v>
      </c>
      <c r="O72" s="9" t="s">
        <v>527</v>
      </c>
      <c r="P72" s="9" t="s">
        <v>528</v>
      </c>
      <c r="Q72" s="9" t="s">
        <v>246</v>
      </c>
      <c r="R72" s="9"/>
      <c r="S72" s="9" t="s">
        <v>181</v>
      </c>
      <c r="T72" s="5">
        <v>24</v>
      </c>
      <c r="V72" s="9" t="s">
        <v>529</v>
      </c>
      <c r="W72" s="9" t="str">
        <f t="shared" si="61"/>
        <v>13/05/2028</v>
      </c>
      <c r="X72" s="10">
        <f t="shared" ca="1" si="11"/>
        <v>46181</v>
      </c>
      <c r="Y72" s="31">
        <f t="shared" ref="Y72" ca="1" si="68">W72-X72</f>
        <v>705</v>
      </c>
      <c r="Z72" s="32" t="str">
        <f t="shared" ref="Z72" ca="1" si="69">IF(Y72&lt;7,"Expira en menos de 7 días",IF(Y72&lt;15,"Expira en menos de 15 días",IF(Y72&lt;30,"Expira en menos de 30 días","En plazo de presentación")))</f>
        <v>En plazo de presentación</v>
      </c>
      <c r="AA72" s="5">
        <v>49</v>
      </c>
      <c r="AB72" s="5">
        <v>51</v>
      </c>
      <c r="AD72" s="5">
        <f t="shared" si="15"/>
        <v>100</v>
      </c>
      <c r="AF72" s="5" t="s">
        <v>522</v>
      </c>
      <c r="AT72" s="7"/>
      <c r="AU72" s="7"/>
      <c r="AV72" s="7"/>
    </row>
    <row r="73" spans="1:48" x14ac:dyDescent="0.35">
      <c r="A73" s="36">
        <v>46152</v>
      </c>
      <c r="B73" s="43" t="s">
        <v>530</v>
      </c>
      <c r="D73" s="11" t="s">
        <v>531</v>
      </c>
      <c r="E73" s="11">
        <f t="shared" si="54"/>
        <v>1</v>
      </c>
      <c r="F73" s="7" t="s">
        <v>525</v>
      </c>
      <c r="G73" s="35">
        <v>33588389.82</v>
      </c>
      <c r="H73" s="9" t="s">
        <v>99</v>
      </c>
      <c r="I73" s="9" t="s">
        <v>175</v>
      </c>
      <c r="J73" s="9" t="s">
        <v>176</v>
      </c>
      <c r="K73" s="9" t="s">
        <v>100</v>
      </c>
      <c r="L73" s="9" t="s">
        <v>101</v>
      </c>
      <c r="N73" s="9" t="s">
        <v>526</v>
      </c>
      <c r="O73" s="9" t="s">
        <v>527</v>
      </c>
      <c r="P73" s="9" t="s">
        <v>528</v>
      </c>
      <c r="Q73" s="9" t="s">
        <v>246</v>
      </c>
      <c r="R73" s="9"/>
      <c r="S73" s="9" t="s">
        <v>181</v>
      </c>
      <c r="T73" s="5">
        <v>24</v>
      </c>
      <c r="V73" s="9" t="s">
        <v>529</v>
      </c>
      <c r="W73" s="9" t="str">
        <f t="shared" si="61"/>
        <v>13/05/2028</v>
      </c>
      <c r="X73" s="10">
        <f t="shared" ca="1" si="11"/>
        <v>46181</v>
      </c>
      <c r="Y73" s="31">
        <f t="shared" ref="Y73" ca="1" si="70">W73-X73</f>
        <v>705</v>
      </c>
      <c r="Z73" s="32" t="str">
        <f t="shared" ref="Z73" ca="1" si="71">IF(Y73&lt;7,"Expira en menos de 7 días",IF(Y73&lt;15,"Expira en menos de 15 días",IF(Y73&lt;30,"Expira en menos de 30 días","En plazo de presentación")))</f>
        <v>En plazo de presentación</v>
      </c>
      <c r="AA73" s="5">
        <v>49</v>
      </c>
      <c r="AB73" s="5">
        <v>51</v>
      </c>
      <c r="AD73" s="5">
        <f t="shared" ref="AD73:AD98" si="72">SUM(AA73:AC73)</f>
        <v>100</v>
      </c>
      <c r="AF73" s="5" t="s">
        <v>522</v>
      </c>
      <c r="AT73" s="7"/>
      <c r="AU73" s="7"/>
      <c r="AV73" s="7"/>
    </row>
    <row r="74" spans="1:48" x14ac:dyDescent="0.35">
      <c r="A74" s="36">
        <v>46152</v>
      </c>
      <c r="B74" s="43" t="s">
        <v>532</v>
      </c>
      <c r="D74" s="11" t="s">
        <v>533</v>
      </c>
      <c r="E74" s="11">
        <f t="shared" si="54"/>
        <v>1</v>
      </c>
      <c r="F74" s="7" t="s">
        <v>525</v>
      </c>
      <c r="G74" s="35">
        <v>20588389.82</v>
      </c>
      <c r="H74" s="9" t="s">
        <v>99</v>
      </c>
      <c r="I74" s="9" t="s">
        <v>175</v>
      </c>
      <c r="J74" s="9" t="s">
        <v>176</v>
      </c>
      <c r="K74" s="9" t="s">
        <v>100</v>
      </c>
      <c r="L74" s="9" t="s">
        <v>101</v>
      </c>
      <c r="N74" s="9" t="s">
        <v>526</v>
      </c>
      <c r="O74" s="9" t="s">
        <v>527</v>
      </c>
      <c r="P74" s="9" t="s">
        <v>528</v>
      </c>
      <c r="Q74" s="9" t="s">
        <v>246</v>
      </c>
      <c r="R74" s="9"/>
      <c r="S74" s="9" t="s">
        <v>181</v>
      </c>
      <c r="T74" s="5">
        <v>24</v>
      </c>
      <c r="V74" s="9" t="s">
        <v>529</v>
      </c>
      <c r="W74" s="9" t="str">
        <f t="shared" ref="W74:W75" si="73">MID(V74,1,10)</f>
        <v>13/05/2028</v>
      </c>
      <c r="X74" s="10">
        <f t="shared" ca="1" si="11"/>
        <v>46181</v>
      </c>
      <c r="Y74" s="31">
        <f t="shared" ref="Y74" ca="1" si="74">W74-X74</f>
        <v>705</v>
      </c>
      <c r="Z74" s="32" t="str">
        <f t="shared" ref="Z74" ca="1" si="75">IF(Y74&lt;7,"Expira en menos de 7 días",IF(Y74&lt;15,"Expira en menos de 15 días",IF(Y74&lt;30,"Expira en menos de 30 días","En plazo de presentación")))</f>
        <v>En plazo de presentación</v>
      </c>
      <c r="AA74" s="5">
        <v>49</v>
      </c>
      <c r="AB74" s="5">
        <v>51</v>
      </c>
      <c r="AD74" s="5">
        <f t="shared" si="72"/>
        <v>100</v>
      </c>
      <c r="AF74" s="5" t="s">
        <v>522</v>
      </c>
      <c r="AT74" s="7"/>
      <c r="AU74" s="7"/>
      <c r="AV74" s="7"/>
    </row>
    <row r="75" spans="1:48" ht="116" x14ac:dyDescent="0.35">
      <c r="A75" s="36">
        <v>46153</v>
      </c>
      <c r="B75" s="7" t="s">
        <v>534</v>
      </c>
      <c r="D75" s="11" t="s">
        <v>535</v>
      </c>
      <c r="E75" s="11">
        <f t="shared" si="54"/>
        <v>1</v>
      </c>
      <c r="F75" s="7" t="s">
        <v>536</v>
      </c>
      <c r="G75" s="35">
        <v>4007200</v>
      </c>
      <c r="H75" s="9" t="s">
        <v>99</v>
      </c>
      <c r="I75" s="9" t="s">
        <v>175</v>
      </c>
      <c r="J75" s="9" t="s">
        <v>176</v>
      </c>
      <c r="K75" s="9" t="s">
        <v>100</v>
      </c>
      <c r="L75" s="9" t="s">
        <v>101</v>
      </c>
      <c r="N75" s="9" t="s">
        <v>208</v>
      </c>
      <c r="O75" s="9" t="s">
        <v>209</v>
      </c>
      <c r="P75" s="9" t="s">
        <v>460</v>
      </c>
      <c r="Q75" s="9" t="s">
        <v>461</v>
      </c>
      <c r="R75" s="9"/>
      <c r="S75" s="9" t="s">
        <v>200</v>
      </c>
      <c r="V75" s="9" t="s">
        <v>537</v>
      </c>
      <c r="W75" s="9" t="str">
        <f t="shared" si="73"/>
        <v>08/06/2026</v>
      </c>
      <c r="X75" s="10">
        <f t="shared" ca="1" si="11"/>
        <v>46181</v>
      </c>
      <c r="Y75" s="31">
        <f t="shared" ref="Y75" ca="1" si="76">W75-X75</f>
        <v>0</v>
      </c>
      <c r="Z75" s="32" t="str">
        <f t="shared" ref="Z75" ca="1" si="77">IF(Y75&lt;7,"Expira en menos de 7 días",IF(Y75&lt;15,"Expira en menos de 15 días",IF(Y75&lt;30,"Expira en menos de 30 días","En plazo de presentación")))</f>
        <v>Expira en menos de 7 días</v>
      </c>
      <c r="AA75" s="5">
        <v>100</v>
      </c>
      <c r="AD75" s="5">
        <f t="shared" si="72"/>
        <v>100</v>
      </c>
      <c r="AT75" s="7"/>
      <c r="AU75" s="7"/>
      <c r="AV75" s="7"/>
    </row>
    <row r="76" spans="1:48" ht="116" x14ac:dyDescent="0.35">
      <c r="A76" s="36">
        <v>46153</v>
      </c>
      <c r="B76" s="7" t="s">
        <v>538</v>
      </c>
      <c r="D76" s="11" t="s">
        <v>539</v>
      </c>
      <c r="E76" s="11">
        <f t="shared" si="54"/>
        <v>1</v>
      </c>
      <c r="F76" s="7" t="s">
        <v>540</v>
      </c>
      <c r="G76" s="35">
        <v>3885120</v>
      </c>
      <c r="H76" s="9" t="s">
        <v>99</v>
      </c>
      <c r="I76" s="9" t="s">
        <v>175</v>
      </c>
      <c r="J76" s="9" t="s">
        <v>176</v>
      </c>
      <c r="K76" s="9" t="s">
        <v>100</v>
      </c>
      <c r="L76" s="9" t="s">
        <v>101</v>
      </c>
      <c r="N76" s="9" t="s">
        <v>208</v>
      </c>
      <c r="O76" s="9" t="s">
        <v>209</v>
      </c>
      <c r="P76" s="9" t="s">
        <v>460</v>
      </c>
      <c r="Q76" s="9" t="s">
        <v>461</v>
      </c>
      <c r="R76" s="9"/>
      <c r="S76" s="9" t="s">
        <v>200</v>
      </c>
      <c r="V76" s="9" t="s">
        <v>537</v>
      </c>
      <c r="W76" s="9" t="str">
        <f t="shared" ref="W76:W79" si="78">MID(V76,1,10)</f>
        <v>08/06/2026</v>
      </c>
      <c r="X76" s="10">
        <f t="shared" ca="1" si="11"/>
        <v>46181</v>
      </c>
      <c r="Y76" s="31">
        <f t="shared" ref="Y76" ca="1" si="79">W76-X76</f>
        <v>0</v>
      </c>
      <c r="Z76" s="32" t="str">
        <f t="shared" ref="Z76" ca="1" si="80">IF(Y76&lt;7,"Expira en menos de 7 días",IF(Y76&lt;15,"Expira en menos de 15 días",IF(Y76&lt;30,"Expira en menos de 30 días","En plazo de presentación")))</f>
        <v>Expira en menos de 7 días</v>
      </c>
      <c r="AA76" s="5">
        <v>100</v>
      </c>
      <c r="AD76" s="5">
        <f t="shared" si="72"/>
        <v>100</v>
      </c>
      <c r="AT76" s="7"/>
      <c r="AU76" s="7"/>
      <c r="AV76" s="7"/>
    </row>
    <row r="77" spans="1:48" ht="29" x14ac:dyDescent="0.35">
      <c r="A77" s="36">
        <v>46154</v>
      </c>
      <c r="B77" s="7" t="s">
        <v>541</v>
      </c>
      <c r="D77" s="11" t="s">
        <v>542</v>
      </c>
      <c r="E77" s="11">
        <f t="shared" si="54"/>
        <v>1</v>
      </c>
      <c r="F77" s="7" t="s">
        <v>543</v>
      </c>
      <c r="G77" s="35">
        <v>1566660.6</v>
      </c>
      <c r="H77" s="9" t="s">
        <v>63</v>
      </c>
      <c r="I77" s="9" t="s">
        <v>175</v>
      </c>
      <c r="J77" s="9" t="s">
        <v>176</v>
      </c>
      <c r="K77" s="9" t="s">
        <v>57</v>
      </c>
      <c r="L77" s="9" t="s">
        <v>64</v>
      </c>
      <c r="N77" s="9"/>
      <c r="O77" s="9"/>
      <c r="P77" s="9" t="s">
        <v>544</v>
      </c>
      <c r="Q77" s="9" t="s">
        <v>218</v>
      </c>
      <c r="R77" s="9"/>
      <c r="S77" s="9" t="s">
        <v>200</v>
      </c>
      <c r="T77" s="5">
        <v>24</v>
      </c>
      <c r="V77" s="9" t="s">
        <v>545</v>
      </c>
      <c r="W77" s="9" t="str">
        <f t="shared" si="78"/>
        <v>10/06/2026</v>
      </c>
      <c r="X77" s="10">
        <f t="shared" ca="1" si="11"/>
        <v>46181</v>
      </c>
      <c r="Y77" s="31">
        <f t="shared" ref="Y77" ca="1" si="81">W77-X77</f>
        <v>2</v>
      </c>
      <c r="Z77" s="32" t="str">
        <f t="shared" ref="Z77" ca="1" si="82">IF(Y77&lt;7,"Expira en menos de 7 días",IF(Y77&lt;15,"Expira en menos de 15 días",IF(Y77&lt;30,"Expira en menos de 30 días","En plazo de presentación")))</f>
        <v>Expira en menos de 7 días</v>
      </c>
      <c r="AA77" s="5">
        <v>100</v>
      </c>
      <c r="AD77" s="5">
        <f t="shared" si="72"/>
        <v>100</v>
      </c>
      <c r="AT77" s="7"/>
      <c r="AU77" s="7"/>
      <c r="AV77" s="7"/>
    </row>
    <row r="78" spans="1:48" ht="29" x14ac:dyDescent="0.35">
      <c r="A78" s="36">
        <v>46154</v>
      </c>
      <c r="B78" s="7" t="s">
        <v>546</v>
      </c>
      <c r="D78" s="11" t="s">
        <v>547</v>
      </c>
      <c r="E78" s="11">
        <f t="shared" si="54"/>
        <v>1</v>
      </c>
      <c r="F78" s="7" t="s">
        <v>548</v>
      </c>
      <c r="G78" s="35">
        <v>1490011.85</v>
      </c>
      <c r="H78" s="9" t="s">
        <v>99</v>
      </c>
      <c r="I78" s="9" t="s">
        <v>175</v>
      </c>
      <c r="J78" s="9" t="s">
        <v>176</v>
      </c>
      <c r="K78" s="9" t="s">
        <v>100</v>
      </c>
      <c r="L78" s="9" t="s">
        <v>101</v>
      </c>
      <c r="N78" s="9"/>
      <c r="O78" s="9"/>
      <c r="P78" s="9" t="s">
        <v>549</v>
      </c>
      <c r="Q78" s="9" t="s">
        <v>211</v>
      </c>
      <c r="R78" s="9" t="s">
        <v>212</v>
      </c>
      <c r="S78" s="9" t="s">
        <v>267</v>
      </c>
      <c r="T78" s="5">
        <v>86</v>
      </c>
      <c r="V78" s="9" t="s">
        <v>550</v>
      </c>
      <c r="W78" s="9" t="str">
        <f t="shared" si="78"/>
        <v>26/06/2026</v>
      </c>
      <c r="X78" s="10">
        <f t="shared" ca="1" si="11"/>
        <v>46181</v>
      </c>
      <c r="Y78" s="31">
        <f t="shared" ref="Y78" ca="1" si="83">W78-X78</f>
        <v>18</v>
      </c>
      <c r="Z78" s="32" t="str">
        <f t="shared" ref="Z78" ca="1" si="84">IF(Y78&lt;7,"Expira en menos de 7 días",IF(Y78&lt;15,"Expira en menos de 15 días",IF(Y78&lt;30,"Expira en menos de 30 días","En plazo de presentación")))</f>
        <v>Expira en menos de 30 días</v>
      </c>
      <c r="AA78" s="5">
        <v>80</v>
      </c>
      <c r="AC78" s="5">
        <v>20</v>
      </c>
      <c r="AD78" s="5">
        <f t="shared" si="72"/>
        <v>100</v>
      </c>
      <c r="AT78" s="7"/>
      <c r="AU78" s="7"/>
      <c r="AV78" s="7"/>
    </row>
    <row r="79" spans="1:48" ht="29" x14ac:dyDescent="0.35">
      <c r="A79" s="36">
        <v>46154</v>
      </c>
      <c r="B79" s="7" t="s">
        <v>551</v>
      </c>
      <c r="D79" s="11" t="s">
        <v>552</v>
      </c>
      <c r="E79" s="11">
        <f t="shared" si="54"/>
        <v>1</v>
      </c>
      <c r="F79" s="7" t="s">
        <v>548</v>
      </c>
      <c r="G79" s="35">
        <v>1146394.77</v>
      </c>
      <c r="H79" s="9" t="s">
        <v>99</v>
      </c>
      <c r="I79" s="9" t="s">
        <v>175</v>
      </c>
      <c r="J79" s="9" t="s">
        <v>176</v>
      </c>
      <c r="K79" s="9" t="s">
        <v>100</v>
      </c>
      <c r="L79" s="9" t="s">
        <v>101</v>
      </c>
      <c r="N79" s="9"/>
      <c r="O79" s="9"/>
      <c r="P79" s="9" t="s">
        <v>549</v>
      </c>
      <c r="Q79" s="9" t="s">
        <v>211</v>
      </c>
      <c r="R79" s="9" t="s">
        <v>212</v>
      </c>
      <c r="S79" s="9" t="s">
        <v>267</v>
      </c>
      <c r="T79" s="5">
        <v>86</v>
      </c>
      <c r="V79" s="9" t="s">
        <v>550</v>
      </c>
      <c r="W79" s="9" t="str">
        <f t="shared" si="78"/>
        <v>26/06/2026</v>
      </c>
      <c r="X79" s="10">
        <f t="shared" ca="1" si="11"/>
        <v>46181</v>
      </c>
      <c r="Y79" s="31">
        <f t="shared" ref="Y79" ca="1" si="85">W79-X79</f>
        <v>18</v>
      </c>
      <c r="Z79" s="32" t="str">
        <f t="shared" ref="Z79" ca="1" si="86">IF(Y79&lt;7,"Expira en menos de 7 días",IF(Y79&lt;15,"Expira en menos de 15 días",IF(Y79&lt;30,"Expira en menos de 30 días","En plazo de presentación")))</f>
        <v>Expira en menos de 30 días</v>
      </c>
      <c r="AA79" s="5">
        <v>80</v>
      </c>
      <c r="AB79" s="5">
        <v>20</v>
      </c>
      <c r="AD79" s="5">
        <f t="shared" si="72"/>
        <v>100</v>
      </c>
      <c r="AT79" s="7"/>
      <c r="AU79" s="7"/>
      <c r="AV79" s="7"/>
    </row>
    <row r="80" spans="1:48" ht="29" x14ac:dyDescent="0.35">
      <c r="A80" s="36">
        <v>46154</v>
      </c>
      <c r="B80" s="7" t="s">
        <v>553</v>
      </c>
      <c r="D80" s="11" t="s">
        <v>554</v>
      </c>
      <c r="E80" s="11">
        <f t="shared" si="54"/>
        <v>1</v>
      </c>
      <c r="F80" s="7" t="s">
        <v>548</v>
      </c>
      <c r="G80" s="35">
        <v>1076653.8700000001</v>
      </c>
      <c r="H80" s="9" t="s">
        <v>99</v>
      </c>
      <c r="I80" s="9" t="s">
        <v>175</v>
      </c>
      <c r="J80" s="9" t="s">
        <v>176</v>
      </c>
      <c r="K80" s="9" t="s">
        <v>100</v>
      </c>
      <c r="L80" s="9" t="s">
        <v>101</v>
      </c>
      <c r="N80" s="9"/>
      <c r="O80" s="9"/>
      <c r="P80" s="9" t="s">
        <v>549</v>
      </c>
      <c r="Q80" s="9" t="s">
        <v>211</v>
      </c>
      <c r="R80" s="9" t="s">
        <v>212</v>
      </c>
      <c r="S80" s="9" t="s">
        <v>267</v>
      </c>
      <c r="T80" s="5">
        <v>86</v>
      </c>
      <c r="V80" s="9" t="s">
        <v>550</v>
      </c>
      <c r="W80" s="9" t="str">
        <f t="shared" ref="W80" si="87">MID(V80,1,10)</f>
        <v>26/06/2026</v>
      </c>
      <c r="X80" s="10">
        <f t="shared" ca="1" si="11"/>
        <v>46181</v>
      </c>
      <c r="Y80" s="31">
        <f t="shared" ref="Y80" ca="1" si="88">W80-X80</f>
        <v>18</v>
      </c>
      <c r="Z80" s="32" t="str">
        <f t="shared" ref="Z80" ca="1" si="89">IF(Y80&lt;7,"Expira en menos de 7 días",IF(Y80&lt;15,"Expira en menos de 15 días",IF(Y80&lt;30,"Expira en menos de 30 días","En plazo de presentación")))</f>
        <v>Expira en menos de 30 días</v>
      </c>
      <c r="AA80" s="5">
        <v>80</v>
      </c>
      <c r="AB80" s="5">
        <v>20</v>
      </c>
      <c r="AD80" s="5">
        <f t="shared" si="72"/>
        <v>100</v>
      </c>
      <c r="AT80" s="7"/>
      <c r="AU80" s="7"/>
      <c r="AV80" s="7"/>
    </row>
    <row r="81" spans="1:48" ht="29" x14ac:dyDescent="0.35">
      <c r="A81" s="36">
        <v>46154</v>
      </c>
      <c r="B81" s="7" t="s">
        <v>555</v>
      </c>
      <c r="D81" s="11" t="s">
        <v>556</v>
      </c>
      <c r="E81" s="11">
        <f t="shared" si="54"/>
        <v>1</v>
      </c>
      <c r="F81" s="7" t="s">
        <v>548</v>
      </c>
      <c r="G81" s="35">
        <v>1076653.8700000001</v>
      </c>
      <c r="H81" s="9" t="s">
        <v>99</v>
      </c>
      <c r="I81" s="9" t="s">
        <v>175</v>
      </c>
      <c r="J81" s="9" t="s">
        <v>176</v>
      </c>
      <c r="K81" s="9" t="s">
        <v>100</v>
      </c>
      <c r="L81" s="9" t="s">
        <v>101</v>
      </c>
      <c r="N81" s="9"/>
      <c r="O81" s="9"/>
      <c r="P81" s="9" t="s">
        <v>549</v>
      </c>
      <c r="Q81" s="9" t="s">
        <v>211</v>
      </c>
      <c r="R81" s="9" t="s">
        <v>212</v>
      </c>
      <c r="S81" s="9" t="s">
        <v>267</v>
      </c>
      <c r="T81" s="5">
        <v>86</v>
      </c>
      <c r="V81" s="9" t="s">
        <v>550</v>
      </c>
      <c r="W81" s="9" t="str">
        <f t="shared" ref="W81:W99" si="90">MID(V81,1,10)</f>
        <v>26/06/2026</v>
      </c>
      <c r="X81" s="10">
        <f t="shared" ca="1" si="11"/>
        <v>46181</v>
      </c>
      <c r="Y81" s="31">
        <f t="shared" ref="Y81" ca="1" si="91">W81-X81</f>
        <v>18</v>
      </c>
      <c r="Z81" s="32" t="str">
        <f t="shared" ref="Z81" ca="1" si="92">IF(Y81&lt;7,"Expira en menos de 7 días",IF(Y81&lt;15,"Expira en menos de 15 días",IF(Y81&lt;30,"Expira en menos de 30 días","En plazo de presentación")))</f>
        <v>Expira en menos de 30 días</v>
      </c>
      <c r="AA81" s="5">
        <v>80</v>
      </c>
      <c r="AB81" s="5">
        <v>20</v>
      </c>
      <c r="AD81" s="5">
        <f t="shared" si="72"/>
        <v>100</v>
      </c>
      <c r="AT81" s="7"/>
      <c r="AU81" s="7"/>
      <c r="AV81" s="7"/>
    </row>
    <row r="82" spans="1:48" ht="29" x14ac:dyDescent="0.35">
      <c r="A82" s="36">
        <v>46155</v>
      </c>
      <c r="B82" s="7" t="s">
        <v>557</v>
      </c>
      <c r="D82" s="11" t="s">
        <v>558</v>
      </c>
      <c r="E82" s="11">
        <f t="shared" si="54"/>
        <v>1</v>
      </c>
      <c r="F82" s="7" t="s">
        <v>559</v>
      </c>
      <c r="G82" s="35">
        <v>23364000</v>
      </c>
      <c r="H82" s="9" t="s">
        <v>78</v>
      </c>
      <c r="I82" s="9" t="s">
        <v>175</v>
      </c>
      <c r="J82" s="9" t="s">
        <v>176</v>
      </c>
      <c r="K82" s="9" t="s">
        <v>76</v>
      </c>
      <c r="L82" s="9" t="s">
        <v>79</v>
      </c>
      <c r="N82" s="9" t="s">
        <v>560</v>
      </c>
      <c r="O82" s="9" t="s">
        <v>560</v>
      </c>
      <c r="P82" s="9" t="s">
        <v>561</v>
      </c>
      <c r="Q82" s="9" t="s">
        <v>239</v>
      </c>
      <c r="R82" s="9"/>
      <c r="S82" s="9" t="s">
        <v>200</v>
      </c>
      <c r="T82" s="5">
        <v>48</v>
      </c>
      <c r="V82" s="9" t="s">
        <v>562</v>
      </c>
      <c r="W82" s="9" t="str">
        <f t="shared" si="90"/>
        <v>12/06/2026</v>
      </c>
      <c r="X82" s="10">
        <f t="shared" ca="1" si="11"/>
        <v>46181</v>
      </c>
      <c r="Y82" s="31">
        <f t="shared" ref="Y82" ca="1" si="93">W82-X82</f>
        <v>4</v>
      </c>
      <c r="Z82" s="32" t="str">
        <f t="shared" ref="Z82" ca="1" si="94">IF(Y82&lt;7,"Expira en menos de 7 días",IF(Y82&lt;15,"Expira en menos de 15 días",IF(Y82&lt;30,"Expira en menos de 30 días","En plazo de presentación")))</f>
        <v>Expira en menos de 7 días</v>
      </c>
      <c r="AA82" s="5">
        <v>100</v>
      </c>
      <c r="AD82" s="5">
        <f t="shared" si="72"/>
        <v>100</v>
      </c>
      <c r="AT82" s="7"/>
      <c r="AU82" s="7"/>
      <c r="AV82" s="7"/>
    </row>
    <row r="83" spans="1:48" x14ac:dyDescent="0.35">
      <c r="A83" s="36">
        <v>46155</v>
      </c>
      <c r="B83" s="7" t="s">
        <v>563</v>
      </c>
      <c r="D83" s="11" t="s">
        <v>564</v>
      </c>
      <c r="E83" s="11">
        <f t="shared" si="54"/>
        <v>1</v>
      </c>
      <c r="F83" s="7" t="s">
        <v>565</v>
      </c>
      <c r="G83" s="35">
        <v>4345084</v>
      </c>
      <c r="H83" s="9" t="s">
        <v>99</v>
      </c>
      <c r="I83" s="9" t="s">
        <v>175</v>
      </c>
      <c r="J83" s="9" t="s">
        <v>176</v>
      </c>
      <c r="K83" s="9" t="s">
        <v>100</v>
      </c>
      <c r="L83" s="9" t="s">
        <v>101</v>
      </c>
      <c r="N83" s="9" t="s">
        <v>223</v>
      </c>
      <c r="O83" s="9" t="s">
        <v>340</v>
      </c>
      <c r="P83" s="9" t="s">
        <v>566</v>
      </c>
      <c r="Q83" s="9" t="s">
        <v>211</v>
      </c>
      <c r="R83" s="9"/>
      <c r="S83" s="9" t="s">
        <v>200</v>
      </c>
      <c r="T83" s="5">
        <v>24</v>
      </c>
      <c r="U83" s="5">
        <v>24</v>
      </c>
      <c r="V83" s="9" t="s">
        <v>567</v>
      </c>
      <c r="W83" s="9" t="str">
        <f t="shared" si="90"/>
        <v>15/06/2026</v>
      </c>
      <c r="X83" s="10">
        <f t="shared" ca="1" si="11"/>
        <v>46181</v>
      </c>
      <c r="Y83" s="31">
        <f t="shared" ref="Y83" ca="1" si="95">W83-X83</f>
        <v>7</v>
      </c>
      <c r="Z83" s="32" t="str">
        <f t="shared" ref="Z83" ca="1" si="96">IF(Y83&lt;7,"Expira en menos de 7 días",IF(Y83&lt;15,"Expira en menos de 15 días",IF(Y83&lt;30,"Expira en menos de 30 días","En plazo de presentación")))</f>
        <v>Expira en menos de 15 días</v>
      </c>
      <c r="AA83" s="5">
        <v>50</v>
      </c>
      <c r="AB83" s="5">
        <v>50</v>
      </c>
      <c r="AD83" s="5">
        <f t="shared" si="72"/>
        <v>100</v>
      </c>
      <c r="AT83" s="7"/>
      <c r="AU83" s="7"/>
      <c r="AV83" s="7"/>
    </row>
    <row r="84" spans="1:48" ht="43.5" x14ac:dyDescent="0.35">
      <c r="A84" s="36">
        <v>46157</v>
      </c>
      <c r="B84" s="7" t="s">
        <v>568</v>
      </c>
      <c r="D84" s="11" t="s">
        <v>569</v>
      </c>
      <c r="E84" s="11">
        <f t="shared" si="54"/>
        <v>1</v>
      </c>
      <c r="F84" s="7" t="s">
        <v>570</v>
      </c>
      <c r="G84" s="35">
        <v>1200728.56</v>
      </c>
      <c r="H84" s="9" t="s">
        <v>105</v>
      </c>
      <c r="I84" s="9" t="s">
        <v>175</v>
      </c>
      <c r="J84" s="9" t="s">
        <v>176</v>
      </c>
      <c r="K84" s="9" t="s">
        <v>103</v>
      </c>
      <c r="L84" s="9" t="s">
        <v>106</v>
      </c>
      <c r="N84" s="9" t="s">
        <v>280</v>
      </c>
      <c r="O84" s="9" t="s">
        <v>571</v>
      </c>
      <c r="P84" s="9" t="s">
        <v>572</v>
      </c>
      <c r="Q84" s="9" t="s">
        <v>211</v>
      </c>
      <c r="R84" s="9"/>
      <c r="S84" s="9" t="s">
        <v>200</v>
      </c>
      <c r="T84" s="5">
        <v>24</v>
      </c>
      <c r="U84" s="5">
        <v>24</v>
      </c>
      <c r="V84" s="9" t="s">
        <v>573</v>
      </c>
      <c r="W84" s="9" t="str">
        <f t="shared" si="90"/>
        <v>15/06/2026</v>
      </c>
      <c r="X84" s="10">
        <f t="shared" ca="1" si="11"/>
        <v>46181</v>
      </c>
      <c r="Y84" s="31">
        <f t="shared" ref="Y84" ca="1" si="97">W84-X84</f>
        <v>7</v>
      </c>
      <c r="Z84" s="32" t="str">
        <f t="shared" ref="Z84" ca="1" si="98">IF(Y84&lt;7,"Expira en menos de 7 días",IF(Y84&lt;15,"Expira en menos de 15 días",IF(Y84&lt;30,"Expira en menos de 30 días","En plazo de presentación")))</f>
        <v>Expira en menos de 15 días</v>
      </c>
      <c r="AA84" s="5">
        <v>30</v>
      </c>
      <c r="AB84" s="5">
        <v>25</v>
      </c>
      <c r="AC84" s="5">
        <v>45</v>
      </c>
      <c r="AD84" s="5">
        <f t="shared" si="72"/>
        <v>100</v>
      </c>
      <c r="AT84" s="7"/>
      <c r="AU84" s="7"/>
      <c r="AV84" s="7"/>
    </row>
    <row r="85" spans="1:48" ht="29" x14ac:dyDescent="0.35">
      <c r="A85" s="36">
        <v>46160</v>
      </c>
      <c r="B85" s="7" t="s">
        <v>574</v>
      </c>
      <c r="D85" s="11" t="s">
        <v>575</v>
      </c>
      <c r="E85" s="11">
        <f t="shared" si="54"/>
        <v>1</v>
      </c>
      <c r="F85" s="7" t="s">
        <v>576</v>
      </c>
      <c r="G85" s="35">
        <v>2479338.84</v>
      </c>
      <c r="H85" s="9" t="s">
        <v>85</v>
      </c>
      <c r="I85" s="9" t="s">
        <v>175</v>
      </c>
      <c r="J85" s="9" t="s">
        <v>176</v>
      </c>
      <c r="K85" s="9" t="s">
        <v>83</v>
      </c>
      <c r="L85" s="9" t="s">
        <v>86</v>
      </c>
      <c r="N85" s="9" t="s">
        <v>223</v>
      </c>
      <c r="O85" s="9" t="s">
        <v>340</v>
      </c>
      <c r="P85" s="9" t="s">
        <v>577</v>
      </c>
      <c r="Q85" s="9" t="s">
        <v>381</v>
      </c>
      <c r="R85" s="9"/>
      <c r="S85" s="9" t="s">
        <v>200</v>
      </c>
      <c r="T85" s="5">
        <v>60</v>
      </c>
      <c r="V85" s="9" t="s">
        <v>578</v>
      </c>
      <c r="W85" s="9" t="str">
        <f t="shared" si="90"/>
        <v>23/06/2026</v>
      </c>
      <c r="X85" s="10">
        <f t="shared" ca="1" si="11"/>
        <v>46181</v>
      </c>
      <c r="Y85" s="31">
        <f t="shared" ref="Y85" ca="1" si="99">W85-X85</f>
        <v>15</v>
      </c>
      <c r="Z85" s="32" t="str">
        <f t="shared" ref="Z85" ca="1" si="100">IF(Y85&lt;7,"Expira en menos de 7 días",IF(Y85&lt;15,"Expira en menos de 15 días",IF(Y85&lt;30,"Expira en menos de 30 días","En plazo de presentación")))</f>
        <v>Expira en menos de 30 días</v>
      </c>
      <c r="AA85" s="5">
        <v>55</v>
      </c>
      <c r="AB85" s="5">
        <v>45</v>
      </c>
      <c r="AD85" s="5">
        <f t="shared" si="72"/>
        <v>100</v>
      </c>
      <c r="AT85" s="7"/>
      <c r="AU85" s="7"/>
      <c r="AV85" s="7"/>
    </row>
    <row r="86" spans="1:48" ht="72.5" x14ac:dyDescent="0.35">
      <c r="A86" s="36">
        <v>46160</v>
      </c>
      <c r="B86" s="7" t="s">
        <v>579</v>
      </c>
      <c r="D86" s="11" t="s">
        <v>580</v>
      </c>
      <c r="E86" s="11">
        <f t="shared" si="54"/>
        <v>1</v>
      </c>
      <c r="F86" s="7" t="s">
        <v>581</v>
      </c>
      <c r="G86" s="35">
        <v>1273725</v>
      </c>
      <c r="H86" s="9" t="s">
        <v>85</v>
      </c>
      <c r="I86" s="9" t="s">
        <v>175</v>
      </c>
      <c r="J86" s="9" t="s">
        <v>176</v>
      </c>
      <c r="K86" s="9" t="s">
        <v>83</v>
      </c>
      <c r="L86" s="9" t="s">
        <v>86</v>
      </c>
      <c r="N86" s="9" t="s">
        <v>264</v>
      </c>
      <c r="O86" s="9"/>
      <c r="P86" s="9" t="s">
        <v>582</v>
      </c>
      <c r="Q86" s="9" t="s">
        <v>218</v>
      </c>
      <c r="R86" s="9"/>
      <c r="S86" s="9" t="s">
        <v>200</v>
      </c>
      <c r="T86" s="5">
        <v>36</v>
      </c>
      <c r="U86" s="5">
        <v>12</v>
      </c>
      <c r="V86" s="9" t="s">
        <v>583</v>
      </c>
      <c r="W86" s="9" t="str">
        <f t="shared" si="90"/>
        <v>18/06/2026</v>
      </c>
      <c r="X86" s="10">
        <f t="shared" ca="1" si="11"/>
        <v>46181</v>
      </c>
      <c r="Y86" s="31">
        <f t="shared" ref="Y86" ca="1" si="101">W86-X86</f>
        <v>10</v>
      </c>
      <c r="Z86" s="32" t="str">
        <f t="shared" ref="Z86" ca="1" si="102">IF(Y86&lt;7,"Expira en menos de 7 días",IF(Y86&lt;15,"Expira en menos de 15 días",IF(Y86&lt;30,"Expira en menos de 30 días","En plazo de presentación")))</f>
        <v>Expira en menos de 15 días</v>
      </c>
      <c r="AA86" s="5">
        <v>37</v>
      </c>
      <c r="AB86" s="5">
        <v>63</v>
      </c>
      <c r="AD86" s="5">
        <f t="shared" si="72"/>
        <v>100</v>
      </c>
      <c r="AT86" s="7"/>
      <c r="AU86" s="7"/>
      <c r="AV86" s="7"/>
    </row>
    <row r="87" spans="1:48" ht="29" x14ac:dyDescent="0.35">
      <c r="A87" s="36">
        <v>46161</v>
      </c>
      <c r="B87" s="43" t="s">
        <v>584</v>
      </c>
      <c r="D87" s="11" t="s">
        <v>585</v>
      </c>
      <c r="E87" s="11">
        <f t="shared" si="54"/>
        <v>1</v>
      </c>
      <c r="F87" s="7" t="s">
        <v>586</v>
      </c>
      <c r="G87" s="35">
        <v>2586380.7999999998</v>
      </c>
      <c r="H87" s="9" t="s">
        <v>105</v>
      </c>
      <c r="I87" s="9" t="s">
        <v>175</v>
      </c>
      <c r="J87" s="9" t="s">
        <v>176</v>
      </c>
      <c r="K87" s="9" t="s">
        <v>103</v>
      </c>
      <c r="L87" s="9" t="s">
        <v>106</v>
      </c>
      <c r="N87" s="9" t="s">
        <v>280</v>
      </c>
      <c r="O87" s="9" t="s">
        <v>571</v>
      </c>
      <c r="P87" s="9" t="s">
        <v>587</v>
      </c>
      <c r="Q87" s="9" t="s">
        <v>381</v>
      </c>
      <c r="R87" s="9"/>
      <c r="S87" s="9" t="s">
        <v>200</v>
      </c>
      <c r="T87" s="5">
        <v>24</v>
      </c>
      <c r="V87" s="9" t="s">
        <v>588</v>
      </c>
      <c r="W87" s="9" t="str">
        <f t="shared" si="90"/>
        <v>03/06/2026</v>
      </c>
      <c r="X87" s="10">
        <f t="shared" ca="1" si="11"/>
        <v>46181</v>
      </c>
      <c r="Y87" s="31">
        <f t="shared" ref="Y87" ca="1" si="103">W87-X87</f>
        <v>-5</v>
      </c>
      <c r="Z87" s="32" t="str">
        <f t="shared" ref="Z87" ca="1" si="104">IF(Y87&lt;7,"Expira en menos de 7 días",IF(Y87&lt;15,"Expira en menos de 15 días",IF(Y87&lt;30,"Expira en menos de 30 días","En plazo de presentación")))</f>
        <v>Expira en menos de 7 días</v>
      </c>
      <c r="AA87" s="5">
        <v>100</v>
      </c>
      <c r="AD87" s="5">
        <f t="shared" si="72"/>
        <v>100</v>
      </c>
      <c r="AF87" s="5" t="s">
        <v>522</v>
      </c>
      <c r="AT87" s="7"/>
      <c r="AU87" s="7"/>
      <c r="AV87" s="7"/>
    </row>
    <row r="88" spans="1:48" ht="29" x14ac:dyDescent="0.35">
      <c r="A88" s="36">
        <v>46163</v>
      </c>
      <c r="B88" s="7" t="s">
        <v>589</v>
      </c>
      <c r="D88" s="11" t="s">
        <v>590</v>
      </c>
      <c r="E88" s="11">
        <f t="shared" si="54"/>
        <v>1</v>
      </c>
      <c r="F88" s="7" t="s">
        <v>591</v>
      </c>
      <c r="G88" s="35">
        <v>4413117.0599999996</v>
      </c>
      <c r="H88" s="9" t="s">
        <v>99</v>
      </c>
      <c r="I88" s="9" t="s">
        <v>175</v>
      </c>
      <c r="J88" s="9" t="s">
        <v>176</v>
      </c>
      <c r="K88" s="9" t="s">
        <v>100</v>
      </c>
      <c r="L88" s="9" t="s">
        <v>101</v>
      </c>
      <c r="N88" s="9" t="s">
        <v>251</v>
      </c>
      <c r="O88" s="9" t="s">
        <v>592</v>
      </c>
      <c r="P88" s="9" t="s">
        <v>593</v>
      </c>
      <c r="Q88" s="9" t="s">
        <v>287</v>
      </c>
      <c r="R88" s="9"/>
      <c r="S88" s="9" t="s">
        <v>200</v>
      </c>
      <c r="T88" s="5">
        <v>24</v>
      </c>
      <c r="V88" s="9" t="s">
        <v>594</v>
      </c>
      <c r="W88" s="9" t="str">
        <f t="shared" si="90"/>
        <v>19/06/2026</v>
      </c>
      <c r="X88" s="10">
        <f t="shared" ca="1" si="11"/>
        <v>46181</v>
      </c>
      <c r="Y88" s="31">
        <f t="shared" ref="Y88" ca="1" si="105">W88-X88</f>
        <v>11</v>
      </c>
      <c r="Z88" s="32" t="str">
        <f t="shared" ref="Z88" ca="1" si="106">IF(Y88&lt;7,"Expira en menos de 7 días",IF(Y88&lt;15,"Expira en menos de 15 días",IF(Y88&lt;30,"Expira en menos de 30 días","En plazo de presentación")))</f>
        <v>Expira en menos de 15 días</v>
      </c>
      <c r="AA88" s="5">
        <v>49</v>
      </c>
      <c r="AB88" s="5">
        <v>51</v>
      </c>
      <c r="AD88" s="5">
        <f t="shared" si="72"/>
        <v>100</v>
      </c>
      <c r="AT88" s="7"/>
      <c r="AU88" s="7"/>
      <c r="AV88" s="7"/>
    </row>
    <row r="89" spans="1:48" ht="58" x14ac:dyDescent="0.35">
      <c r="A89" s="36">
        <v>46164</v>
      </c>
      <c r="B89" s="43" t="s">
        <v>595</v>
      </c>
      <c r="D89" s="11" t="s">
        <v>596</v>
      </c>
      <c r="E89" s="11">
        <f t="shared" si="54"/>
        <v>1</v>
      </c>
      <c r="F89" s="7" t="s">
        <v>597</v>
      </c>
      <c r="G89" s="35">
        <v>2450000</v>
      </c>
      <c r="H89" s="9" t="s">
        <v>118</v>
      </c>
      <c r="I89" s="9" t="s">
        <v>175</v>
      </c>
      <c r="J89" s="9" t="s">
        <v>176</v>
      </c>
      <c r="K89" s="9" t="s">
        <v>112</v>
      </c>
      <c r="L89" s="9" t="s">
        <v>119</v>
      </c>
      <c r="N89" s="9" t="s">
        <v>208</v>
      </c>
      <c r="O89" s="9" t="s">
        <v>209</v>
      </c>
      <c r="P89" s="9" t="s">
        <v>598</v>
      </c>
      <c r="Q89" s="9" t="s">
        <v>211</v>
      </c>
      <c r="R89" s="9"/>
      <c r="S89" s="9" t="s">
        <v>200</v>
      </c>
      <c r="T89" s="5">
        <v>60</v>
      </c>
      <c r="V89" s="9" t="s">
        <v>599</v>
      </c>
      <c r="W89" s="9" t="str">
        <f t="shared" si="90"/>
        <v>02/06/2026</v>
      </c>
      <c r="X89" s="10">
        <f t="shared" ca="1" si="11"/>
        <v>46181</v>
      </c>
      <c r="Y89" s="31">
        <f t="shared" ref="Y89" ca="1" si="107">W89-X89</f>
        <v>-6</v>
      </c>
      <c r="Z89" s="32" t="str">
        <f t="shared" ref="Z89" ca="1" si="108">IF(Y89&lt;7,"Expira en menos de 7 días",IF(Y89&lt;15,"Expira en menos de 15 días",IF(Y89&lt;30,"Expira en menos de 30 días","En plazo de presentación")))</f>
        <v>Expira en menos de 7 días</v>
      </c>
      <c r="AA89" s="5">
        <v>60</v>
      </c>
      <c r="AB89" s="5">
        <v>30</v>
      </c>
      <c r="AC89" s="5">
        <v>10</v>
      </c>
      <c r="AD89" s="5">
        <f t="shared" si="72"/>
        <v>100</v>
      </c>
      <c r="AF89" s="5" t="s">
        <v>522</v>
      </c>
      <c r="AT89" s="7"/>
      <c r="AU89" s="7"/>
      <c r="AV89" s="7"/>
    </row>
    <row r="90" spans="1:48" ht="31.5" customHeight="1" x14ac:dyDescent="0.35">
      <c r="A90" s="36">
        <v>46160</v>
      </c>
      <c r="B90" s="7" t="s">
        <v>600</v>
      </c>
      <c r="D90" s="11" t="s">
        <v>601</v>
      </c>
      <c r="E90" s="11">
        <f t="shared" si="54"/>
        <v>1</v>
      </c>
      <c r="F90" s="7" t="s">
        <v>357</v>
      </c>
      <c r="G90" s="35">
        <v>1621058.4</v>
      </c>
      <c r="H90" s="9" t="s">
        <v>99</v>
      </c>
      <c r="I90" s="9" t="s">
        <v>175</v>
      </c>
      <c r="J90" s="9" t="s">
        <v>176</v>
      </c>
      <c r="K90" s="9" t="s">
        <v>100</v>
      </c>
      <c r="L90" s="9" t="s">
        <v>101</v>
      </c>
      <c r="N90" s="9" t="s">
        <v>223</v>
      </c>
      <c r="O90" s="9" t="s">
        <v>340</v>
      </c>
      <c r="P90" s="9" t="s">
        <v>602</v>
      </c>
      <c r="Q90" s="9" t="s">
        <v>309</v>
      </c>
      <c r="R90" s="9"/>
      <c r="S90" s="9" t="s">
        <v>200</v>
      </c>
      <c r="T90" s="5">
        <v>12</v>
      </c>
      <c r="U90" s="5">
        <v>12</v>
      </c>
      <c r="V90" s="9" t="s">
        <v>603</v>
      </c>
      <c r="W90" s="9" t="str">
        <f t="shared" si="90"/>
        <v>24/06/2026</v>
      </c>
      <c r="X90" s="10">
        <f t="shared" ca="1" si="11"/>
        <v>46181</v>
      </c>
      <c r="Y90" s="31">
        <f t="shared" ref="Y90" ca="1" si="109">W90-X90</f>
        <v>16</v>
      </c>
      <c r="Z90" s="32" t="str">
        <f t="shared" ref="Z90" ca="1" si="110">IF(Y90&lt;7,"Expira en menos de 7 días",IF(Y90&lt;15,"Expira en menos de 15 días",IF(Y90&lt;30,"Expira en menos de 30 días","En plazo de presentación")))</f>
        <v>Expira en menos de 30 días</v>
      </c>
      <c r="AA90" s="5">
        <v>49</v>
      </c>
      <c r="AB90" s="5">
        <v>51</v>
      </c>
      <c r="AD90" s="5">
        <f t="shared" si="72"/>
        <v>100</v>
      </c>
      <c r="AT90" s="7"/>
      <c r="AU90" s="7"/>
      <c r="AV90" s="7"/>
    </row>
    <row r="91" spans="1:48" ht="43.5" x14ac:dyDescent="0.35">
      <c r="A91" s="36">
        <v>46136</v>
      </c>
      <c r="B91" s="7" t="s">
        <v>604</v>
      </c>
      <c r="D91" s="11" t="s">
        <v>605</v>
      </c>
      <c r="E91" s="11">
        <f t="shared" si="54"/>
        <v>1</v>
      </c>
      <c r="F91" s="7" t="s">
        <v>606</v>
      </c>
      <c r="G91" s="35">
        <v>1108731.32</v>
      </c>
      <c r="H91" s="9" t="s">
        <v>56</v>
      </c>
      <c r="I91" s="9" t="s">
        <v>175</v>
      </c>
      <c r="J91" s="9" t="s">
        <v>176</v>
      </c>
      <c r="K91" s="9" t="s">
        <v>57</v>
      </c>
      <c r="L91" s="9" t="s">
        <v>58</v>
      </c>
      <c r="N91" s="9" t="s">
        <v>177</v>
      </c>
      <c r="O91" s="9" t="s">
        <v>413</v>
      </c>
      <c r="P91" s="9" t="s">
        <v>607</v>
      </c>
      <c r="Q91" s="9" t="s">
        <v>246</v>
      </c>
      <c r="R91" s="9"/>
      <c r="S91" s="9" t="s">
        <v>200</v>
      </c>
      <c r="V91" s="9" t="s">
        <v>608</v>
      </c>
      <c r="W91" s="9" t="str">
        <f t="shared" si="90"/>
        <v>22/06/2026</v>
      </c>
      <c r="X91" s="10">
        <f t="shared" ca="1" si="11"/>
        <v>46181</v>
      </c>
      <c r="Y91" s="31">
        <f t="shared" ref="Y91" ca="1" si="111">W91-X91</f>
        <v>14</v>
      </c>
      <c r="Z91" s="32" t="str">
        <f t="shared" ref="Z91" ca="1" si="112">IF(Y91&lt;7,"Expira en menos de 7 días",IF(Y91&lt;15,"Expira en menos de 15 días",IF(Y91&lt;30,"Expira en menos de 30 días","En plazo de presentación")))</f>
        <v>Expira en menos de 15 días</v>
      </c>
      <c r="AA91" s="5">
        <v>30</v>
      </c>
      <c r="AB91" s="5">
        <v>35</v>
      </c>
      <c r="AC91" s="5">
        <v>35</v>
      </c>
      <c r="AD91" s="5">
        <f t="shared" si="72"/>
        <v>100</v>
      </c>
      <c r="AT91" s="7"/>
      <c r="AU91" s="7"/>
      <c r="AV91" s="7"/>
    </row>
    <row r="92" spans="1:48" ht="130.5" x14ac:dyDescent="0.35">
      <c r="A92" s="36">
        <v>46167</v>
      </c>
      <c r="B92" s="7" t="s">
        <v>609</v>
      </c>
      <c r="D92" s="11" t="s">
        <v>610</v>
      </c>
      <c r="E92" s="11">
        <f t="shared" si="54"/>
        <v>1</v>
      </c>
      <c r="F92" s="7" t="s">
        <v>611</v>
      </c>
      <c r="G92" s="35">
        <v>4583716.28</v>
      </c>
      <c r="H92" s="9" t="s">
        <v>99</v>
      </c>
      <c r="I92" s="9" t="s">
        <v>175</v>
      </c>
      <c r="J92" s="9" t="s">
        <v>176</v>
      </c>
      <c r="K92" s="9" t="s">
        <v>100</v>
      </c>
      <c r="L92" s="9" t="s">
        <v>101</v>
      </c>
      <c r="N92" s="9" t="s">
        <v>236</v>
      </c>
      <c r="O92" s="9"/>
      <c r="P92" s="9" t="s">
        <v>612</v>
      </c>
      <c r="Q92" s="9" t="s">
        <v>211</v>
      </c>
      <c r="R92" s="9"/>
      <c r="S92" s="9" t="s">
        <v>200</v>
      </c>
      <c r="V92" s="9" t="s">
        <v>613</v>
      </c>
      <c r="W92" s="9" t="str">
        <f t="shared" si="90"/>
        <v>25/06/2026</v>
      </c>
      <c r="X92" s="10">
        <f t="shared" ca="1" si="11"/>
        <v>46181</v>
      </c>
      <c r="Y92" s="31">
        <f t="shared" ref="Y92" ca="1" si="113">W92-X92</f>
        <v>17</v>
      </c>
      <c r="Z92" s="32" t="str">
        <f t="shared" ref="Z92" ca="1" si="114">IF(Y92&lt;7,"Expira en menos de 7 días",IF(Y92&lt;15,"Expira en menos de 15 días",IF(Y92&lt;30,"Expira en menos de 30 días","En plazo de presentación")))</f>
        <v>Expira en menos de 30 días</v>
      </c>
      <c r="AA92" s="5">
        <v>100</v>
      </c>
      <c r="AD92" s="5">
        <f t="shared" si="72"/>
        <v>100</v>
      </c>
      <c r="AT92" s="7"/>
      <c r="AU92" s="7"/>
      <c r="AV92" s="7"/>
    </row>
    <row r="93" spans="1:48" ht="43.5" x14ac:dyDescent="0.35">
      <c r="A93" s="36">
        <v>46135</v>
      </c>
      <c r="B93" s="7" t="s">
        <v>614</v>
      </c>
      <c r="D93" s="11" t="s">
        <v>615</v>
      </c>
      <c r="E93" s="11">
        <f t="shared" si="54"/>
        <v>1</v>
      </c>
      <c r="F93" s="7" t="s">
        <v>616</v>
      </c>
      <c r="G93" s="35">
        <v>1465507.1</v>
      </c>
      <c r="H93" s="9" t="s">
        <v>99</v>
      </c>
      <c r="I93" s="9" t="s">
        <v>175</v>
      </c>
      <c r="J93" s="9" t="s">
        <v>176</v>
      </c>
      <c r="K93" s="9" t="s">
        <v>100</v>
      </c>
      <c r="L93" s="9" t="s">
        <v>101</v>
      </c>
      <c r="N93" s="9" t="s">
        <v>280</v>
      </c>
      <c r="O93" s="9"/>
      <c r="P93" s="9" t="s">
        <v>617</v>
      </c>
      <c r="Q93" s="9" t="s">
        <v>211</v>
      </c>
      <c r="R93" s="9"/>
      <c r="S93" s="9" t="s">
        <v>200</v>
      </c>
      <c r="V93" s="9" t="s">
        <v>618</v>
      </c>
      <c r="W93" s="9" t="str">
        <f t="shared" si="90"/>
        <v>12/06/2026</v>
      </c>
      <c r="X93" s="10">
        <f t="shared" ca="1" si="11"/>
        <v>46181</v>
      </c>
      <c r="Y93" s="31">
        <f t="shared" ref="Y93" ca="1" si="115">W93-X93</f>
        <v>4</v>
      </c>
      <c r="Z93" s="32" t="str">
        <f t="shared" ref="Z93" ca="1" si="116">IF(Y93&lt;7,"Expira en menos de 7 días",IF(Y93&lt;15,"Expira en menos de 15 días",IF(Y93&lt;30,"Expira en menos de 30 días","En plazo de presentación")))</f>
        <v>Expira en menos de 7 días</v>
      </c>
      <c r="AT93" s="7"/>
      <c r="AU93" s="7"/>
      <c r="AV93" s="7"/>
    </row>
    <row r="94" spans="1:48" ht="43.5" x14ac:dyDescent="0.35">
      <c r="A94" s="36">
        <v>46168</v>
      </c>
      <c r="B94" s="7" t="s">
        <v>619</v>
      </c>
      <c r="D94" s="11" t="s">
        <v>620</v>
      </c>
      <c r="E94" s="11">
        <f t="shared" si="54"/>
        <v>1</v>
      </c>
      <c r="F94" s="7" t="s">
        <v>621</v>
      </c>
      <c r="G94" s="35">
        <v>1040228</v>
      </c>
      <c r="H94" s="9" t="s">
        <v>80</v>
      </c>
      <c r="I94" s="9" t="s">
        <v>175</v>
      </c>
      <c r="J94" s="9" t="s">
        <v>176</v>
      </c>
      <c r="K94" s="9" t="s">
        <v>76</v>
      </c>
      <c r="L94" s="9" t="s">
        <v>81</v>
      </c>
      <c r="N94" s="9" t="s">
        <v>236</v>
      </c>
      <c r="O94" s="9" t="s">
        <v>622</v>
      </c>
      <c r="P94" s="9" t="s">
        <v>623</v>
      </c>
      <c r="Q94" s="9" t="s">
        <v>199</v>
      </c>
      <c r="R94" s="9"/>
      <c r="S94" s="9" t="s">
        <v>403</v>
      </c>
      <c r="V94" s="9" t="s">
        <v>624</v>
      </c>
      <c r="W94" s="9" t="str">
        <f t="shared" si="90"/>
        <v>15/06/2026</v>
      </c>
      <c r="X94" s="10">
        <f t="shared" ca="1" si="11"/>
        <v>46181</v>
      </c>
      <c r="Y94" s="31">
        <f t="shared" ref="Y94" ca="1" si="117">W94-X94</f>
        <v>7</v>
      </c>
      <c r="Z94" s="32" t="str">
        <f t="shared" ref="Z94" ca="1" si="118">IF(Y94&lt;7,"Expira en menos de 7 días",IF(Y94&lt;15,"Expira en menos de 15 días",IF(Y94&lt;30,"Expira en menos de 30 días","En plazo de presentación")))</f>
        <v>Expira en menos de 15 días</v>
      </c>
      <c r="AA94" s="5">
        <v>100</v>
      </c>
      <c r="AD94" s="5">
        <f t="shared" si="72"/>
        <v>100</v>
      </c>
      <c r="AT94" s="7"/>
      <c r="AU94" s="7"/>
      <c r="AV94" s="7"/>
    </row>
    <row r="95" spans="1:48" x14ac:dyDescent="0.35">
      <c r="A95" s="36">
        <v>46170</v>
      </c>
      <c r="B95" s="7" t="s">
        <v>625</v>
      </c>
      <c r="D95" s="11" t="s">
        <v>626</v>
      </c>
      <c r="E95" s="11">
        <f t="shared" si="54"/>
        <v>1</v>
      </c>
      <c r="F95" s="7" t="s">
        <v>627</v>
      </c>
      <c r="G95" s="35">
        <v>8364000</v>
      </c>
      <c r="H95" s="9" t="s">
        <v>85</v>
      </c>
      <c r="I95" s="9" t="s">
        <v>175</v>
      </c>
      <c r="J95" s="9" t="s">
        <v>176</v>
      </c>
      <c r="K95" s="9" t="s">
        <v>83</v>
      </c>
      <c r="L95" s="9" t="s">
        <v>86</v>
      </c>
      <c r="N95" s="9" t="s">
        <v>208</v>
      </c>
      <c r="O95" s="9" t="s">
        <v>209</v>
      </c>
      <c r="P95" s="9" t="s">
        <v>628</v>
      </c>
      <c r="Q95" s="9" t="s">
        <v>309</v>
      </c>
      <c r="R95" s="9"/>
      <c r="S95" s="9" t="s">
        <v>200</v>
      </c>
      <c r="T95" s="5">
        <v>48</v>
      </c>
      <c r="U95" s="5">
        <v>12</v>
      </c>
      <c r="V95" s="9" t="s">
        <v>629</v>
      </c>
      <c r="W95" s="9" t="str">
        <f t="shared" si="90"/>
        <v>29/06/2026</v>
      </c>
      <c r="X95" s="10">
        <f t="shared" ca="1" si="11"/>
        <v>46181</v>
      </c>
      <c r="Y95" s="31">
        <f t="shared" ref="Y95" ca="1" si="119">W95-X95</f>
        <v>21</v>
      </c>
      <c r="Z95" s="32" t="str">
        <f t="shared" ref="Z95" ca="1" si="120">IF(Y95&lt;7,"Expira en menos de 7 días",IF(Y95&lt;15,"Expira en menos de 15 días",IF(Y95&lt;30,"Expira en menos de 30 días","En plazo de presentación")))</f>
        <v>Expira en menos de 30 días</v>
      </c>
      <c r="AA95" s="5">
        <v>70</v>
      </c>
      <c r="AC95" s="5">
        <v>30</v>
      </c>
      <c r="AD95" s="5">
        <f t="shared" si="72"/>
        <v>100</v>
      </c>
      <c r="AT95" s="7"/>
      <c r="AU95" s="7"/>
      <c r="AV95" s="7"/>
    </row>
    <row r="96" spans="1:48" x14ac:dyDescent="0.35">
      <c r="A96" s="36">
        <v>46170</v>
      </c>
      <c r="B96" s="43" t="s">
        <v>630</v>
      </c>
      <c r="D96" s="11" t="s">
        <v>631</v>
      </c>
      <c r="E96" s="11">
        <f t="shared" si="54"/>
        <v>1</v>
      </c>
      <c r="F96" s="7" t="s">
        <v>632</v>
      </c>
      <c r="G96" s="35">
        <v>1528925.62</v>
      </c>
      <c r="H96" s="9" t="s">
        <v>102</v>
      </c>
      <c r="I96" s="9" t="s">
        <v>175</v>
      </c>
      <c r="J96" s="9" t="s">
        <v>176</v>
      </c>
      <c r="K96" s="9" t="s">
        <v>103</v>
      </c>
      <c r="L96" s="9" t="s">
        <v>104</v>
      </c>
      <c r="N96" s="9" t="s">
        <v>280</v>
      </c>
      <c r="O96" s="9" t="s">
        <v>571</v>
      </c>
      <c r="P96" s="9" t="s">
        <v>633</v>
      </c>
      <c r="Q96" s="9" t="s">
        <v>309</v>
      </c>
      <c r="R96" s="9"/>
      <c r="S96" s="9" t="s">
        <v>200</v>
      </c>
      <c r="V96" s="9" t="s">
        <v>634</v>
      </c>
      <c r="W96" s="9" t="str">
        <f t="shared" si="90"/>
        <v>03/07/2026</v>
      </c>
      <c r="X96" s="10">
        <f t="shared" ca="1" si="11"/>
        <v>46181</v>
      </c>
      <c r="Y96" s="31">
        <f t="shared" ref="Y96" ca="1" si="121">W96-X96</f>
        <v>25</v>
      </c>
      <c r="Z96" s="32" t="str">
        <f t="shared" ref="Z96" ca="1" si="122">IF(Y96&lt;7,"Expira en menos de 7 días",IF(Y96&lt;15,"Expira en menos de 15 días",IF(Y96&lt;30,"Expira en menos de 30 días","En plazo de presentación")))</f>
        <v>Expira en menos de 30 días</v>
      </c>
      <c r="AA96" s="5">
        <v>100</v>
      </c>
      <c r="AD96" s="5">
        <f t="shared" si="72"/>
        <v>100</v>
      </c>
      <c r="AT96" s="7"/>
      <c r="AU96" s="7"/>
      <c r="AV96" s="7"/>
    </row>
    <row r="97" spans="1:54" ht="130.5" x14ac:dyDescent="0.35">
      <c r="A97" s="36">
        <v>46171</v>
      </c>
      <c r="B97" s="43" t="s">
        <v>635</v>
      </c>
      <c r="D97" s="11" t="s">
        <v>636</v>
      </c>
      <c r="E97" s="11">
        <f t="shared" si="54"/>
        <v>1</v>
      </c>
      <c r="F97" s="7" t="s">
        <v>637</v>
      </c>
      <c r="G97" s="35">
        <v>2759764.1</v>
      </c>
      <c r="H97" s="9" t="s">
        <v>71</v>
      </c>
      <c r="I97" s="9" t="s">
        <v>175</v>
      </c>
      <c r="J97" s="9" t="s">
        <v>176</v>
      </c>
      <c r="K97" s="9" t="s">
        <v>69</v>
      </c>
      <c r="L97" s="9" t="s">
        <v>72</v>
      </c>
      <c r="N97" s="9" t="s">
        <v>208</v>
      </c>
      <c r="O97" s="9" t="s">
        <v>209</v>
      </c>
      <c r="P97" s="9" t="s">
        <v>638</v>
      </c>
      <c r="Q97" s="9" t="s">
        <v>309</v>
      </c>
      <c r="R97" s="9"/>
      <c r="S97" s="9" t="s">
        <v>200</v>
      </c>
      <c r="T97" s="5">
        <v>24</v>
      </c>
      <c r="V97" s="9" t="s">
        <v>639</v>
      </c>
      <c r="W97" s="9" t="str">
        <f t="shared" si="90"/>
        <v>29/06/2026</v>
      </c>
      <c r="X97" s="10">
        <f t="shared" ca="1" si="11"/>
        <v>46181</v>
      </c>
      <c r="Y97" s="31">
        <f t="shared" ref="Y97" ca="1" si="123">W97-X97</f>
        <v>21</v>
      </c>
      <c r="Z97" s="32" t="str">
        <f t="shared" ref="Z97" ca="1" si="124">IF(Y97&lt;7,"Expira en menos de 7 días",IF(Y97&lt;15,"Expira en menos de 15 días",IF(Y97&lt;30,"Expira en menos de 30 días","En plazo de presentación")))</f>
        <v>Expira en menos de 30 días</v>
      </c>
      <c r="AA97" s="5">
        <v>51</v>
      </c>
      <c r="AC97" s="5">
        <v>49</v>
      </c>
      <c r="AD97" s="5">
        <f t="shared" si="72"/>
        <v>100</v>
      </c>
      <c r="AE97" s="5" t="s">
        <v>202</v>
      </c>
      <c r="AF97" s="5" t="s">
        <v>203</v>
      </c>
      <c r="AH97" s="5" t="s">
        <v>175</v>
      </c>
      <c r="AI97" s="5" t="s">
        <v>175</v>
      </c>
      <c r="AL97" s="5" t="s">
        <v>175</v>
      </c>
      <c r="AT97" s="7"/>
      <c r="AU97" s="7"/>
      <c r="AV97" s="7"/>
      <c r="AW97" s="5" t="s">
        <v>640</v>
      </c>
      <c r="AX97" s="5" t="s">
        <v>641</v>
      </c>
      <c r="AY97" s="5" t="s">
        <v>642</v>
      </c>
      <c r="AZ97" s="5" t="s">
        <v>641</v>
      </c>
      <c r="BA97" s="5" t="s">
        <v>643</v>
      </c>
      <c r="BB97" s="5" t="s">
        <v>644</v>
      </c>
    </row>
    <row r="98" spans="1:54" ht="58" x14ac:dyDescent="0.35">
      <c r="A98" s="36">
        <v>46171</v>
      </c>
      <c r="B98" s="43" t="s">
        <v>645</v>
      </c>
      <c r="D98" s="11" t="s">
        <v>646</v>
      </c>
      <c r="E98" s="11">
        <f t="shared" si="54"/>
        <v>1</v>
      </c>
      <c r="F98" s="7" t="s">
        <v>647</v>
      </c>
      <c r="G98" s="35">
        <v>1099772.8899999999</v>
      </c>
      <c r="H98" s="9" t="s">
        <v>99</v>
      </c>
      <c r="I98" s="9" t="s">
        <v>175</v>
      </c>
      <c r="J98" s="9" t="s">
        <v>176</v>
      </c>
      <c r="K98" s="9" t="s">
        <v>100</v>
      </c>
      <c r="L98" s="9" t="s">
        <v>101</v>
      </c>
      <c r="N98" s="9" t="s">
        <v>177</v>
      </c>
      <c r="O98" s="9" t="s">
        <v>413</v>
      </c>
      <c r="P98" s="9" t="s">
        <v>648</v>
      </c>
      <c r="Q98" s="9" t="s">
        <v>199</v>
      </c>
      <c r="R98" s="9"/>
      <c r="S98" s="9" t="s">
        <v>200</v>
      </c>
      <c r="T98" s="5">
        <v>48</v>
      </c>
      <c r="U98" s="5">
        <v>12</v>
      </c>
      <c r="V98" s="9" t="s">
        <v>639</v>
      </c>
      <c r="W98" s="9" t="str">
        <f t="shared" si="90"/>
        <v>29/06/2026</v>
      </c>
      <c r="X98" s="10">
        <f t="shared" ca="1" si="11"/>
        <v>46181</v>
      </c>
      <c r="Y98" s="31">
        <f t="shared" ref="Y98" ca="1" si="125">W98-X98</f>
        <v>21</v>
      </c>
      <c r="Z98" s="32" t="str">
        <f t="shared" ref="Z98" ca="1" si="126">IF(Y98&lt;7,"Expira en menos de 7 días",IF(Y98&lt;15,"Expira en menos de 15 días",IF(Y98&lt;30,"Expira en menos de 30 días","En plazo de presentación")))</f>
        <v>Expira en menos de 30 días</v>
      </c>
      <c r="AA98" s="5">
        <v>40</v>
      </c>
      <c r="AB98" s="5">
        <v>15</v>
      </c>
      <c r="AC98" s="5">
        <v>45</v>
      </c>
      <c r="AD98" s="5">
        <f t="shared" si="72"/>
        <v>100</v>
      </c>
      <c r="AE98" s="5" t="s">
        <v>316</v>
      </c>
      <c r="AF98" s="5" t="s">
        <v>522</v>
      </c>
      <c r="AT98" s="7"/>
      <c r="AU98" s="7"/>
      <c r="AV98" s="7"/>
    </row>
    <row r="99" spans="1:54" ht="58" x14ac:dyDescent="0.35">
      <c r="A99" s="36">
        <v>46171</v>
      </c>
      <c r="B99" s="7" t="s">
        <v>649</v>
      </c>
      <c r="D99" s="11" t="s">
        <v>650</v>
      </c>
      <c r="E99" s="11">
        <f t="shared" si="54"/>
        <v>1</v>
      </c>
      <c r="F99" s="7" t="s">
        <v>651</v>
      </c>
      <c r="G99" s="35">
        <v>1069180.3400000001</v>
      </c>
      <c r="H99" s="9" t="s">
        <v>99</v>
      </c>
      <c r="I99" s="9" t="s">
        <v>175</v>
      </c>
      <c r="J99" s="9" t="s">
        <v>176</v>
      </c>
      <c r="K99" s="9" t="s">
        <v>100</v>
      </c>
      <c r="L99" s="9" t="s">
        <v>101</v>
      </c>
      <c r="N99" s="9" t="s">
        <v>280</v>
      </c>
      <c r="O99" s="9" t="s">
        <v>652</v>
      </c>
      <c r="P99" s="9" t="s">
        <v>653</v>
      </c>
      <c r="Q99" s="9" t="s">
        <v>461</v>
      </c>
      <c r="R99" s="9"/>
      <c r="S99" s="9" t="s">
        <v>654</v>
      </c>
      <c r="T99" s="5">
        <v>48</v>
      </c>
      <c r="V99" s="9" t="s">
        <v>567</v>
      </c>
      <c r="W99" s="9" t="str">
        <f t="shared" si="90"/>
        <v>15/06/2026</v>
      </c>
      <c r="X99" s="10">
        <f t="shared" ca="1" si="11"/>
        <v>46181</v>
      </c>
      <c r="Y99" s="31">
        <f t="shared" ref="Y99" ca="1" si="127">W99-X99</f>
        <v>7</v>
      </c>
      <c r="Z99" s="32" t="str">
        <f t="shared" ref="Z99" ca="1" si="128">IF(Y99&lt;7,"Expira en menos de 7 días",IF(Y99&lt;15,"Expira en menos de 15 días",IF(Y99&lt;30,"Expira en menos de 30 días","En plazo de presentación")))</f>
        <v>Expira en menos de 15 días</v>
      </c>
      <c r="AT99" s="7"/>
      <c r="AU99" s="7"/>
      <c r="AV99" s="7"/>
    </row>
    <row r="100" spans="1:54" x14ac:dyDescent="0.35">
      <c r="A100" s="36"/>
      <c r="G100" s="35"/>
      <c r="H100" s="9"/>
      <c r="I100" s="9"/>
      <c r="J100" s="9"/>
      <c r="K100" s="9"/>
      <c r="L100" s="9"/>
      <c r="N100" s="9"/>
      <c r="O100" s="9"/>
      <c r="P100" s="9"/>
      <c r="Q100" s="9"/>
      <c r="R100" s="9"/>
      <c r="S100" s="9"/>
      <c r="V100" s="9"/>
      <c r="W100" s="9"/>
      <c r="X100" s="10"/>
      <c r="Y100" s="31"/>
      <c r="Z100" s="32"/>
      <c r="AT100" s="7"/>
      <c r="AU100" s="7"/>
      <c r="AV100" s="7"/>
    </row>
  </sheetData>
  <autoFilter ref="A1:BD99" xr:uid="{73CFC59C-71F3-446E-9690-04D61CA97BC4}"/>
  <hyperlinks>
    <hyperlink ref="B2" r:id="rId1" display="https://urldefense.com/v3/__https:/www.adjudicacionestic.com/front/login.php?sec=licitaciones-contenido&amp;var=169398__;!!KDf9ebxpXGLC!AheiHO6GY2_-jl373rz5mzr-FiqfBcMz3ik5tlDQ6FW_Omrz94bjdihkPDnAR3teRioynbo4uwA1VfdBDOEFMx1TLoabD57okBVTBmwKuYHvpr_BfhRM$" xr:uid="{386B1995-D12E-466B-999F-DCDDC5BE4052}"/>
  </hyperlinks>
  <pageMargins left="0.7" right="0.7" top="0.75" bottom="0.75" header="0.3" footer="0.3"/>
  <pageSetup paperSize="9" orientation="portrait" r:id="rId2"/>
  <legacyDrawing r:id="rId3"/>
  <extLst>
    <ext xmlns:x14="http://schemas.microsoft.com/office/spreadsheetml/2009/9/main" uri="{CCE6A557-97BC-4b89-ADB6-D9C93CAAB3DF}">
      <x14:dataValidations xmlns:xm="http://schemas.microsoft.com/office/excel/2006/main" count="20">
        <x14:dataValidation type="list" allowBlank="1" showInputMessage="1" showErrorMessage="1" xr:uid="{D4EB7334-2AC7-4D02-A4CB-C4D64786D833}">
          <x14:formula1>
            <xm:f>'Lista opciones'!$Y$2:$Y$15</xm:f>
          </x14:formula1>
          <xm:sqref>AT2:AT100</xm:sqref>
        </x14:dataValidation>
        <x14:dataValidation type="list" allowBlank="1" showInputMessage="1" showErrorMessage="1" xr:uid="{C65186AB-9062-4284-AB73-53D0B146A2F3}">
          <x14:formula1>
            <xm:f>'Lista opciones'!$A$2:$A$8</xm:f>
          </x14:formula1>
          <xm:sqref>M2:M4</xm:sqref>
        </x14:dataValidation>
        <x14:dataValidation type="list" allowBlank="1" showInputMessage="1" showErrorMessage="1" xr:uid="{A6F20692-A9AD-4D14-8C30-BE687D20DB14}">
          <x14:formula1>
            <xm:f>'Lista opciones'!$E$2:$E$10</xm:f>
          </x14:formula1>
          <xm:sqref>Q2:Q8</xm:sqref>
        </x14:dataValidation>
        <x14:dataValidation type="list" allowBlank="1" showInputMessage="1" showErrorMessage="1" xr:uid="{7E5EE934-E248-49E8-8081-7DF5A01588A9}">
          <x14:formula1>
            <xm:f>'Lista opciones'!$Q$2:$Q$104</xm:f>
          </x14:formula1>
          <xm:sqref>M12 L2:L100</xm:sqref>
        </x14:dataValidation>
        <x14:dataValidation type="list" allowBlank="1" showInputMessage="1" showErrorMessage="1" xr:uid="{120A5D88-B2AD-4340-A470-0F892C951367}">
          <x14:formula1>
            <xm:f>'Lista opciones'!$U$2:$U$5</xm:f>
          </x14:formula1>
          <xm:sqref>AE2:AE100</xm:sqref>
        </x14:dataValidation>
        <x14:dataValidation type="list" allowBlank="1" showInputMessage="1" showErrorMessage="1" xr:uid="{7A845AE4-24AA-4E92-B463-79D0858E687F}">
          <x14:formula1>
            <xm:f>'Lista opciones'!$W$2:$W$3</xm:f>
          </x14:formula1>
          <xm:sqref>AG2:AS100</xm:sqref>
        </x14:dataValidation>
        <x14:dataValidation type="list" allowBlank="1" showInputMessage="1" showErrorMessage="1" xr:uid="{629C442B-6C81-4CD5-A06A-B0B290837C59}">
          <x14:formula1>
            <xm:f>'Lista opciones'!$S$2:$S$6</xm:f>
          </x14:formula1>
          <xm:sqref>AF2:AF100</xm:sqref>
        </x14:dataValidation>
        <x14:dataValidation type="list" allowBlank="1" showInputMessage="1" showErrorMessage="1" xr:uid="{258ED50A-7D25-418F-AF97-EB1B73A4CD28}">
          <x14:formula1>
            <xm:f>'Lista opciones'!$E$2:$E$11</xm:f>
          </x14:formula1>
          <xm:sqref>Q9</xm:sqref>
        </x14:dataValidation>
        <x14:dataValidation type="list" allowBlank="1" showInputMessage="1" showErrorMessage="1" xr:uid="{0C9E439D-10E4-46AB-8085-983E47CF1076}">
          <x14:formula1>
            <xm:f>'Lista opciones'!$E$2:$E$12</xm:f>
          </x14:formula1>
          <xm:sqref>Q10:Q17 Q19:Q21 Q25:Q26 Q40</xm:sqref>
        </x14:dataValidation>
        <x14:dataValidation type="list" allowBlank="1" showInputMessage="1" showErrorMessage="1" xr:uid="{6BB068D1-A1D8-4E32-9F01-E9BDFE95A70C}">
          <x14:formula1>
            <xm:f>'Lista opciones'!$E$2:$E$13</xm:f>
          </x14:formula1>
          <xm:sqref>Q18</xm:sqref>
        </x14:dataValidation>
        <x14:dataValidation type="list" allowBlank="1" showInputMessage="1" showErrorMessage="1" xr:uid="{16D1F487-0DB7-4323-A8D5-3890828BF776}">
          <x14:formula1>
            <xm:f>'Lista opciones'!$E$2:$E$14</xm:f>
          </x14:formula1>
          <xm:sqref>Q22:Q24 Q27:Q29</xm:sqref>
        </x14:dataValidation>
        <x14:dataValidation type="list" allowBlank="1" showInputMessage="1" showErrorMessage="1" xr:uid="{7E6CF328-9B04-4017-A2A5-BA995E70336E}">
          <x14:formula1>
            <xm:f>'Lista opciones'!$E$2:$E$15</xm:f>
          </x14:formula1>
          <xm:sqref>Q30:Q35</xm:sqref>
        </x14:dataValidation>
        <x14:dataValidation type="list" allowBlank="1" showInputMessage="1" showErrorMessage="1" xr:uid="{8D92552F-470F-4F29-BED6-1413D7B3E1BC}">
          <x14:formula1>
            <xm:f>'Lista opciones'!$E$2:$E$16</xm:f>
          </x14:formula1>
          <xm:sqref>Q36:Q39 Q41:Q52</xm:sqref>
        </x14:dataValidation>
        <x14:dataValidation type="list" allowBlank="1" showInputMessage="1" showErrorMessage="1" xr:uid="{05370E1F-F3B5-4FF7-B779-2228A0D6258C}">
          <x14:formula1>
            <xm:f>'Lista opciones'!$C$2:$C$20</xm:f>
          </x14:formula1>
          <xm:sqref>N2:N100</xm:sqref>
        </x14:dataValidation>
        <x14:dataValidation type="list" allowBlank="1" showInputMessage="1" showErrorMessage="1" xr:uid="{E7F81181-7B01-4291-81AD-B1D63522268F}">
          <x14:formula1>
            <xm:f>'Lista opciones'!$M$2:$M$5</xm:f>
          </x14:formula1>
          <xm:sqref>J2:J100</xm:sqref>
        </x14:dataValidation>
        <x14:dataValidation type="list" allowBlank="1" showInputMessage="1" showErrorMessage="1" xr:uid="{7476D78C-5069-4B8C-BEC3-73F13839E51E}">
          <x14:formula1>
            <xm:f>'Lista opciones'!$O$2:$O$25</xm:f>
          </x14:formula1>
          <xm:sqref>K2:K100</xm:sqref>
        </x14:dataValidation>
        <x14:dataValidation type="list" allowBlank="1" showInputMessage="1" showErrorMessage="1" xr:uid="{6C716DA6-DADC-4E57-82D1-4F36D6FA6649}">
          <x14:formula1>
            <xm:f>'Lista opciones'!$K$2:$K$105</xm:f>
          </x14:formula1>
          <xm:sqref>H2:H100</xm:sqref>
        </x14:dataValidation>
        <x14:dataValidation type="list" allowBlank="1" showInputMessage="1" showErrorMessage="1" xr:uid="{DB148C96-D77F-4886-BBD5-E7408BD549D5}">
          <x14:formula1>
            <xm:f>'Lista opciones'!$G$2:$G$12</xm:f>
          </x14:formula1>
          <xm:sqref>S2:S100</xm:sqref>
        </x14:dataValidation>
        <x14:dataValidation type="list" allowBlank="1" showInputMessage="1" showErrorMessage="1" xr:uid="{ED7536B9-97CC-4B61-885B-7E8F4A314519}">
          <x14:formula1>
            <xm:f>'Lista opciones'!$E$2:$E$17</xm:f>
          </x14:formula1>
          <xm:sqref>Q53:Q100</xm:sqref>
        </x14:dataValidation>
        <x14:dataValidation type="list" allowBlank="1" showInputMessage="1" showErrorMessage="1" xr:uid="{AD725F27-F077-4CB4-A09B-B53FE9FFBABD}">
          <x14:formula1>
            <xm:f>'Lista opciones'!$AA$2:$AA$24</xm:f>
          </x14:formula1>
          <xm:sqref>AW2:AW100 BC2:BC100 AY2:AY100 BA2:BA100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95D7B-C802-4555-A882-80DE6C79BD35}">
  <dimension ref="A1:AA105"/>
  <sheetViews>
    <sheetView zoomScale="90" zoomScaleNormal="90" workbookViewId="0">
      <selection activeCell="E17" sqref="E17"/>
    </sheetView>
  </sheetViews>
  <sheetFormatPr baseColWidth="10" defaultColWidth="11.453125" defaultRowHeight="14.5" x14ac:dyDescent="0.35"/>
  <cols>
    <col min="1" max="1" width="27.54296875" bestFit="1" customWidth="1"/>
    <col min="2" max="2" width="4.7265625" customWidth="1"/>
    <col min="3" max="3" width="31.1796875" bestFit="1" customWidth="1"/>
    <col min="4" max="4" width="4.7265625" customWidth="1"/>
    <col min="5" max="5" width="30.7265625" bestFit="1" customWidth="1"/>
    <col min="6" max="6" width="4.7265625" customWidth="1"/>
    <col min="7" max="7" width="29.54296875" bestFit="1" customWidth="1"/>
    <col min="8" max="8" width="4.7265625" customWidth="1"/>
    <col min="9" max="9" width="28.1796875" bestFit="1" customWidth="1"/>
    <col min="11" max="11" width="83.7265625" bestFit="1" customWidth="1"/>
    <col min="15" max="15" width="34.453125" bestFit="1" customWidth="1"/>
    <col min="17" max="17" width="47.453125" bestFit="1" customWidth="1"/>
    <col min="19" max="19" width="47.453125" bestFit="1" customWidth="1"/>
    <col min="23" max="23" width="23.7265625" bestFit="1" customWidth="1"/>
    <col min="25" max="25" width="25.1796875" bestFit="1" customWidth="1"/>
    <col min="27" max="27" width="24.81640625" bestFit="1" customWidth="1"/>
  </cols>
  <sheetData>
    <row r="1" spans="1:27" x14ac:dyDescent="0.35">
      <c r="A1" s="2" t="s">
        <v>128</v>
      </c>
      <c r="B1" s="2"/>
      <c r="C1" s="2" t="s">
        <v>129</v>
      </c>
      <c r="E1" s="3" t="s">
        <v>655</v>
      </c>
      <c r="G1" s="3" t="s">
        <v>656</v>
      </c>
      <c r="I1" s="1" t="s">
        <v>141</v>
      </c>
      <c r="K1" s="1" t="s">
        <v>1</v>
      </c>
      <c r="M1" s="1" t="s">
        <v>2</v>
      </c>
      <c r="O1" s="1" t="s">
        <v>3</v>
      </c>
      <c r="Q1" s="1" t="s">
        <v>4</v>
      </c>
      <c r="S1" s="3" t="s">
        <v>147</v>
      </c>
      <c r="U1" s="3" t="s">
        <v>657</v>
      </c>
      <c r="W1" s="3" t="s">
        <v>658</v>
      </c>
      <c r="Y1" s="4" t="s">
        <v>160</v>
      </c>
      <c r="AA1" s="3" t="s">
        <v>659</v>
      </c>
    </row>
    <row r="2" spans="1:27" x14ac:dyDescent="0.35">
      <c r="A2" t="s">
        <v>660</v>
      </c>
      <c r="C2" t="s">
        <v>280</v>
      </c>
      <c r="E2" t="s">
        <v>275</v>
      </c>
      <c r="G2" t="s">
        <v>200</v>
      </c>
      <c r="I2" t="s">
        <v>661</v>
      </c>
      <c r="K2" t="s">
        <v>48</v>
      </c>
      <c r="M2" t="s">
        <v>176</v>
      </c>
      <c r="O2" t="s">
        <v>50</v>
      </c>
      <c r="Q2" t="s">
        <v>662</v>
      </c>
      <c r="S2" t="s">
        <v>663</v>
      </c>
      <c r="U2" t="s">
        <v>316</v>
      </c>
      <c r="W2" t="s">
        <v>175</v>
      </c>
      <c r="Y2" t="s">
        <v>148</v>
      </c>
      <c r="AA2" t="s">
        <v>664</v>
      </c>
    </row>
    <row r="3" spans="1:27" x14ac:dyDescent="0.35">
      <c r="A3" t="s">
        <v>665</v>
      </c>
      <c r="C3" t="s">
        <v>666</v>
      </c>
      <c r="E3" t="s">
        <v>667</v>
      </c>
      <c r="G3" t="s">
        <v>267</v>
      </c>
      <c r="I3" t="s">
        <v>668</v>
      </c>
      <c r="K3" t="s">
        <v>52</v>
      </c>
      <c r="M3" t="s">
        <v>669</v>
      </c>
      <c r="O3" t="s">
        <v>57</v>
      </c>
      <c r="Q3" t="s">
        <v>51</v>
      </c>
      <c r="S3" t="s">
        <v>203</v>
      </c>
      <c r="U3" t="s">
        <v>670</v>
      </c>
      <c r="W3" t="s">
        <v>671</v>
      </c>
      <c r="Y3" t="s">
        <v>149</v>
      </c>
      <c r="AA3" t="s">
        <v>672</v>
      </c>
    </row>
    <row r="4" spans="1:27" x14ac:dyDescent="0.35">
      <c r="A4" t="s">
        <v>673</v>
      </c>
      <c r="C4" t="s">
        <v>196</v>
      </c>
      <c r="E4" t="s">
        <v>298</v>
      </c>
      <c r="G4" t="s">
        <v>674</v>
      </c>
      <c r="I4" t="s">
        <v>675</v>
      </c>
      <c r="K4" t="s">
        <v>54</v>
      </c>
      <c r="M4" t="s">
        <v>676</v>
      </c>
      <c r="O4" t="s">
        <v>66</v>
      </c>
      <c r="Q4" t="s">
        <v>53</v>
      </c>
      <c r="S4" t="s">
        <v>677</v>
      </c>
      <c r="U4" t="s">
        <v>202</v>
      </c>
      <c r="Y4" t="s">
        <v>150</v>
      </c>
      <c r="AA4" t="s">
        <v>678</v>
      </c>
    </row>
    <row r="5" spans="1:27" x14ac:dyDescent="0.35">
      <c r="A5" t="s">
        <v>679</v>
      </c>
      <c r="C5" t="s">
        <v>526</v>
      </c>
      <c r="E5" t="s">
        <v>179</v>
      </c>
      <c r="G5" t="s">
        <v>680</v>
      </c>
      <c r="I5" t="s">
        <v>681</v>
      </c>
      <c r="K5" t="s">
        <v>61</v>
      </c>
      <c r="M5" t="s">
        <v>682</v>
      </c>
      <c r="O5" t="s">
        <v>69</v>
      </c>
      <c r="Q5" t="s">
        <v>683</v>
      </c>
      <c r="S5" t="s">
        <v>684</v>
      </c>
      <c r="U5" t="s">
        <v>685</v>
      </c>
      <c r="Y5" t="s">
        <v>151</v>
      </c>
      <c r="AA5" t="s">
        <v>686</v>
      </c>
    </row>
    <row r="6" spans="1:27" x14ac:dyDescent="0.35">
      <c r="A6" t="s">
        <v>687</v>
      </c>
      <c r="C6" t="s">
        <v>509</v>
      </c>
      <c r="E6" t="s">
        <v>287</v>
      </c>
      <c r="G6" t="s">
        <v>688</v>
      </c>
      <c r="K6" t="s">
        <v>59</v>
      </c>
      <c r="O6" t="s">
        <v>40</v>
      </c>
      <c r="Q6" t="s">
        <v>67</v>
      </c>
      <c r="S6" t="s">
        <v>522</v>
      </c>
      <c r="Y6" t="s">
        <v>689</v>
      </c>
      <c r="AA6" t="s">
        <v>690</v>
      </c>
    </row>
    <row r="7" spans="1:27" x14ac:dyDescent="0.35">
      <c r="A7" t="s">
        <v>691</v>
      </c>
      <c r="C7" t="s">
        <v>352</v>
      </c>
      <c r="E7" t="s">
        <v>246</v>
      </c>
      <c r="G7" t="s">
        <v>654</v>
      </c>
      <c r="K7" t="s">
        <v>692</v>
      </c>
      <c r="O7" t="s">
        <v>693</v>
      </c>
      <c r="Q7" t="s">
        <v>9</v>
      </c>
      <c r="Y7" t="s">
        <v>153</v>
      </c>
      <c r="AA7" t="s">
        <v>694</v>
      </c>
    </row>
    <row r="8" spans="1:27" x14ac:dyDescent="0.35">
      <c r="A8" t="s">
        <v>695</v>
      </c>
      <c r="C8" t="s">
        <v>696</v>
      </c>
      <c r="E8" t="s">
        <v>461</v>
      </c>
      <c r="G8" t="s">
        <v>697</v>
      </c>
      <c r="K8" t="s">
        <v>56</v>
      </c>
      <c r="O8" t="s">
        <v>76</v>
      </c>
      <c r="Q8" t="s">
        <v>698</v>
      </c>
      <c r="Y8" t="s">
        <v>699</v>
      </c>
      <c r="AA8" t="s">
        <v>700</v>
      </c>
    </row>
    <row r="9" spans="1:27" x14ac:dyDescent="0.35">
      <c r="C9" t="s">
        <v>251</v>
      </c>
      <c r="E9" t="s">
        <v>381</v>
      </c>
      <c r="G9" t="s">
        <v>701</v>
      </c>
      <c r="K9" t="s">
        <v>63</v>
      </c>
      <c r="O9" t="s">
        <v>22</v>
      </c>
      <c r="Q9" t="s">
        <v>702</v>
      </c>
      <c r="Y9" t="s">
        <v>154</v>
      </c>
      <c r="AA9" t="s">
        <v>642</v>
      </c>
    </row>
    <row r="10" spans="1:27" x14ac:dyDescent="0.35">
      <c r="C10" t="s">
        <v>264</v>
      </c>
      <c r="E10" t="s">
        <v>218</v>
      </c>
      <c r="G10" t="s">
        <v>703</v>
      </c>
      <c r="K10" t="s">
        <v>65</v>
      </c>
      <c r="O10" t="s">
        <v>83</v>
      </c>
      <c r="Q10" t="s">
        <v>119</v>
      </c>
      <c r="Y10" t="s">
        <v>155</v>
      </c>
      <c r="AA10" t="s">
        <v>704</v>
      </c>
    </row>
    <row r="11" spans="1:27" x14ac:dyDescent="0.35">
      <c r="C11" t="s">
        <v>477</v>
      </c>
      <c r="E11" t="s">
        <v>705</v>
      </c>
      <c r="G11" t="s">
        <v>403</v>
      </c>
      <c r="K11" t="s">
        <v>706</v>
      </c>
      <c r="O11" t="s">
        <v>669</v>
      </c>
      <c r="Q11" t="s">
        <v>707</v>
      </c>
      <c r="Y11" t="s">
        <v>156</v>
      </c>
      <c r="AA11" t="s">
        <v>708</v>
      </c>
    </row>
    <row r="12" spans="1:27" x14ac:dyDescent="0.35">
      <c r="C12" t="s">
        <v>177</v>
      </c>
      <c r="E12" t="s">
        <v>415</v>
      </c>
      <c r="G12" t="s">
        <v>181</v>
      </c>
      <c r="K12" t="s">
        <v>68</v>
      </c>
      <c r="O12" t="s">
        <v>8</v>
      </c>
      <c r="Q12" t="s">
        <v>709</v>
      </c>
      <c r="Y12" t="s">
        <v>157</v>
      </c>
      <c r="AA12" t="s">
        <v>710</v>
      </c>
    </row>
    <row r="13" spans="1:27" x14ac:dyDescent="0.35">
      <c r="C13" t="s">
        <v>711</v>
      </c>
      <c r="E13" t="s">
        <v>359</v>
      </c>
      <c r="K13" t="s">
        <v>73</v>
      </c>
      <c r="O13" t="s">
        <v>712</v>
      </c>
      <c r="Q13" t="s">
        <v>713</v>
      </c>
      <c r="Y13" t="s">
        <v>158</v>
      </c>
      <c r="AA13" t="s">
        <v>714</v>
      </c>
    </row>
    <row r="14" spans="1:27" x14ac:dyDescent="0.35">
      <c r="C14" t="s">
        <v>236</v>
      </c>
      <c r="E14" t="s">
        <v>309</v>
      </c>
      <c r="K14" t="s">
        <v>71</v>
      </c>
      <c r="O14" t="s">
        <v>100</v>
      </c>
      <c r="Q14" t="s">
        <v>715</v>
      </c>
      <c r="Y14" t="s">
        <v>159</v>
      </c>
      <c r="AA14" t="s">
        <v>640</v>
      </c>
    </row>
    <row r="15" spans="1:27" x14ac:dyDescent="0.35">
      <c r="C15" t="s">
        <v>208</v>
      </c>
      <c r="E15" t="s">
        <v>199</v>
      </c>
      <c r="K15" t="s">
        <v>80</v>
      </c>
      <c r="O15" t="s">
        <v>31</v>
      </c>
      <c r="Q15" t="s">
        <v>81</v>
      </c>
      <c r="Y15" t="s">
        <v>716</v>
      </c>
      <c r="AA15" t="s">
        <v>717</v>
      </c>
    </row>
    <row r="16" spans="1:27" x14ac:dyDescent="0.35">
      <c r="C16" t="s">
        <v>560</v>
      </c>
      <c r="E16" t="s">
        <v>239</v>
      </c>
      <c r="K16" t="s">
        <v>75</v>
      </c>
      <c r="O16" t="s">
        <v>718</v>
      </c>
      <c r="Q16" t="s">
        <v>47</v>
      </c>
      <c r="AA16" t="s">
        <v>719</v>
      </c>
    </row>
    <row r="17" spans="3:27" x14ac:dyDescent="0.35">
      <c r="C17" t="s">
        <v>419</v>
      </c>
      <c r="E17" t="s">
        <v>211</v>
      </c>
      <c r="K17" t="s">
        <v>78</v>
      </c>
      <c r="O17" t="s">
        <v>103</v>
      </c>
      <c r="Q17" t="s">
        <v>720</v>
      </c>
      <c r="AA17" t="s">
        <v>309</v>
      </c>
    </row>
    <row r="18" spans="3:27" x14ac:dyDescent="0.35">
      <c r="C18" t="s">
        <v>721</v>
      </c>
      <c r="K18" t="s">
        <v>722</v>
      </c>
      <c r="O18" t="s">
        <v>723</v>
      </c>
      <c r="Q18" t="s">
        <v>90</v>
      </c>
      <c r="AA18" t="s">
        <v>724</v>
      </c>
    </row>
    <row r="19" spans="3:27" x14ac:dyDescent="0.35">
      <c r="C19" t="s">
        <v>223</v>
      </c>
      <c r="K19" t="s">
        <v>89</v>
      </c>
      <c r="O19" t="s">
        <v>725</v>
      </c>
      <c r="Q19" t="s">
        <v>92</v>
      </c>
      <c r="AA19" t="s">
        <v>151</v>
      </c>
    </row>
    <row r="20" spans="3:27" x14ac:dyDescent="0.35">
      <c r="C20" t="s">
        <v>489</v>
      </c>
      <c r="K20" t="s">
        <v>91</v>
      </c>
      <c r="O20" t="s">
        <v>726</v>
      </c>
      <c r="Q20" t="s">
        <v>77</v>
      </c>
      <c r="AA20" t="s">
        <v>643</v>
      </c>
    </row>
    <row r="21" spans="3:27" x14ac:dyDescent="0.35">
      <c r="K21" t="s">
        <v>97</v>
      </c>
      <c r="O21" t="s">
        <v>727</v>
      </c>
      <c r="Q21" t="s">
        <v>728</v>
      </c>
      <c r="AA21" t="s">
        <v>729</v>
      </c>
    </row>
    <row r="22" spans="3:27" x14ac:dyDescent="0.35">
      <c r="K22" t="s">
        <v>85</v>
      </c>
      <c r="O22" t="s">
        <v>730</v>
      </c>
      <c r="Q22" t="s">
        <v>731</v>
      </c>
      <c r="AA22" t="s">
        <v>732</v>
      </c>
    </row>
    <row r="23" spans="3:27" x14ac:dyDescent="0.35">
      <c r="K23" t="s">
        <v>82</v>
      </c>
      <c r="O23" t="s">
        <v>733</v>
      </c>
      <c r="Q23" t="s">
        <v>734</v>
      </c>
      <c r="AA23" t="s">
        <v>735</v>
      </c>
    </row>
    <row r="24" spans="3:27" x14ac:dyDescent="0.35">
      <c r="K24" t="s">
        <v>87</v>
      </c>
      <c r="O24" t="s">
        <v>736</v>
      </c>
      <c r="Q24" t="s">
        <v>98</v>
      </c>
      <c r="AA24" t="s">
        <v>737</v>
      </c>
    </row>
    <row r="25" spans="3:27" x14ac:dyDescent="0.35">
      <c r="K25" t="s">
        <v>95</v>
      </c>
      <c r="O25" t="s">
        <v>112</v>
      </c>
      <c r="Q25" t="s">
        <v>738</v>
      </c>
    </row>
    <row r="26" spans="3:27" x14ac:dyDescent="0.35">
      <c r="K26" t="s">
        <v>93</v>
      </c>
      <c r="Q26" t="s">
        <v>739</v>
      </c>
    </row>
    <row r="27" spans="3:27" x14ac:dyDescent="0.35">
      <c r="K27" t="s">
        <v>740</v>
      </c>
      <c r="Q27" t="s">
        <v>741</v>
      </c>
    </row>
    <row r="28" spans="3:27" x14ac:dyDescent="0.35">
      <c r="K28" t="s">
        <v>99</v>
      </c>
      <c r="Q28" t="s">
        <v>113</v>
      </c>
    </row>
    <row r="29" spans="3:27" x14ac:dyDescent="0.35">
      <c r="K29" s="33" t="s">
        <v>742</v>
      </c>
      <c r="Q29" t="s">
        <v>743</v>
      </c>
    </row>
    <row r="30" spans="3:27" x14ac:dyDescent="0.35">
      <c r="K30" t="s">
        <v>105</v>
      </c>
      <c r="Q30" t="s">
        <v>70</v>
      </c>
    </row>
    <row r="31" spans="3:27" x14ac:dyDescent="0.35">
      <c r="K31" t="s">
        <v>109</v>
      </c>
      <c r="Q31" t="s">
        <v>744</v>
      </c>
    </row>
    <row r="32" spans="3:27" x14ac:dyDescent="0.35">
      <c r="K32" t="s">
        <v>102</v>
      </c>
      <c r="Q32" t="s">
        <v>745</v>
      </c>
    </row>
    <row r="33" spans="11:17" x14ac:dyDescent="0.35">
      <c r="K33" t="s">
        <v>107</v>
      </c>
      <c r="Q33" t="s">
        <v>746</v>
      </c>
    </row>
    <row r="34" spans="11:17" x14ac:dyDescent="0.35">
      <c r="K34" t="s">
        <v>747</v>
      </c>
      <c r="Q34" t="s">
        <v>748</v>
      </c>
    </row>
    <row r="35" spans="11:17" x14ac:dyDescent="0.35">
      <c r="K35" t="s">
        <v>749</v>
      </c>
      <c r="Q35" t="s">
        <v>750</v>
      </c>
    </row>
    <row r="36" spans="11:17" x14ac:dyDescent="0.35">
      <c r="K36" t="s">
        <v>751</v>
      </c>
      <c r="Q36" t="s">
        <v>27</v>
      </c>
    </row>
    <row r="37" spans="11:17" x14ac:dyDescent="0.35">
      <c r="K37" t="s">
        <v>118</v>
      </c>
      <c r="Q37" t="s">
        <v>106</v>
      </c>
    </row>
    <row r="38" spans="11:17" x14ac:dyDescent="0.35">
      <c r="K38" t="s">
        <v>111</v>
      </c>
      <c r="Q38" t="s">
        <v>752</v>
      </c>
    </row>
    <row r="39" spans="11:17" x14ac:dyDescent="0.35">
      <c r="K39" t="s">
        <v>114</v>
      </c>
      <c r="Q39" t="s">
        <v>34</v>
      </c>
    </row>
    <row r="40" spans="11:17" x14ac:dyDescent="0.35">
      <c r="K40" t="s">
        <v>753</v>
      </c>
      <c r="Q40" t="s">
        <v>754</v>
      </c>
    </row>
    <row r="41" spans="11:17" x14ac:dyDescent="0.35">
      <c r="K41" t="s">
        <v>755</v>
      </c>
      <c r="Q41" t="s">
        <v>86</v>
      </c>
    </row>
    <row r="42" spans="11:17" x14ac:dyDescent="0.35">
      <c r="K42" t="s">
        <v>116</v>
      </c>
      <c r="Q42" t="s">
        <v>15</v>
      </c>
    </row>
    <row r="43" spans="11:17" x14ac:dyDescent="0.35">
      <c r="K43" t="s">
        <v>756</v>
      </c>
      <c r="Q43" t="s">
        <v>757</v>
      </c>
    </row>
    <row r="44" spans="11:17" x14ac:dyDescent="0.35">
      <c r="K44" t="s">
        <v>758</v>
      </c>
      <c r="Q44" t="s">
        <v>115</v>
      </c>
    </row>
    <row r="45" spans="11:17" x14ac:dyDescent="0.35">
      <c r="K45" t="s">
        <v>759</v>
      </c>
      <c r="Q45" t="s">
        <v>760</v>
      </c>
    </row>
    <row r="46" spans="11:17" x14ac:dyDescent="0.35">
      <c r="K46" t="s">
        <v>761</v>
      </c>
      <c r="Q46" t="s">
        <v>43</v>
      </c>
    </row>
    <row r="47" spans="11:17" x14ac:dyDescent="0.35">
      <c r="K47" t="s">
        <v>46</v>
      </c>
      <c r="Q47" t="s">
        <v>762</v>
      </c>
    </row>
    <row r="48" spans="11:17" x14ac:dyDescent="0.35">
      <c r="K48" t="s">
        <v>42</v>
      </c>
      <c r="Q48" t="s">
        <v>62</v>
      </c>
    </row>
    <row r="49" spans="11:17" x14ac:dyDescent="0.35">
      <c r="K49" t="s">
        <v>44</v>
      </c>
      <c r="Q49" t="s">
        <v>763</v>
      </c>
    </row>
    <row r="50" spans="11:17" x14ac:dyDescent="0.35">
      <c r="K50" t="s">
        <v>39</v>
      </c>
      <c r="Q50" t="s">
        <v>764</v>
      </c>
    </row>
    <row r="51" spans="11:17" x14ac:dyDescent="0.35">
      <c r="K51" t="s">
        <v>765</v>
      </c>
      <c r="Q51" t="s">
        <v>25</v>
      </c>
    </row>
    <row r="52" spans="11:17" x14ac:dyDescent="0.35">
      <c r="K52" t="s">
        <v>26</v>
      </c>
      <c r="Q52" t="s">
        <v>766</v>
      </c>
    </row>
    <row r="53" spans="11:17" x14ac:dyDescent="0.35">
      <c r="K53" t="s">
        <v>767</v>
      </c>
      <c r="Q53" t="s">
        <v>45</v>
      </c>
    </row>
    <row r="54" spans="11:17" x14ac:dyDescent="0.35">
      <c r="K54" t="s">
        <v>24</v>
      </c>
      <c r="Q54" t="s">
        <v>20</v>
      </c>
    </row>
    <row r="55" spans="11:17" x14ac:dyDescent="0.35">
      <c r="K55" t="s">
        <v>28</v>
      </c>
      <c r="Q55" t="s">
        <v>768</v>
      </c>
    </row>
    <row r="56" spans="11:17" x14ac:dyDescent="0.35">
      <c r="K56" t="s">
        <v>21</v>
      </c>
      <c r="Q56" t="s">
        <v>74</v>
      </c>
    </row>
    <row r="57" spans="11:17" x14ac:dyDescent="0.35">
      <c r="K57" t="s">
        <v>6</v>
      </c>
      <c r="Q57" t="s">
        <v>36</v>
      </c>
    </row>
    <row r="58" spans="11:17" x14ac:dyDescent="0.35">
      <c r="K58" t="s">
        <v>769</v>
      </c>
      <c r="Q58" t="s">
        <v>770</v>
      </c>
    </row>
    <row r="59" spans="11:17" x14ac:dyDescent="0.35">
      <c r="K59" t="s">
        <v>771</v>
      </c>
      <c r="Q59" t="s">
        <v>772</v>
      </c>
    </row>
    <row r="60" spans="11:17" x14ac:dyDescent="0.35">
      <c r="K60" t="s">
        <v>773</v>
      </c>
      <c r="Q60" t="s">
        <v>774</v>
      </c>
    </row>
    <row r="61" spans="11:17" x14ac:dyDescent="0.35">
      <c r="K61" t="s">
        <v>775</v>
      </c>
      <c r="Q61" t="s">
        <v>776</v>
      </c>
    </row>
    <row r="62" spans="11:17" x14ac:dyDescent="0.35">
      <c r="K62" t="s">
        <v>14</v>
      </c>
      <c r="Q62" t="s">
        <v>777</v>
      </c>
    </row>
    <row r="63" spans="11:17" x14ac:dyDescent="0.35">
      <c r="K63" t="s">
        <v>19</v>
      </c>
      <c r="Q63" t="s">
        <v>38</v>
      </c>
    </row>
    <row r="64" spans="11:17" x14ac:dyDescent="0.35">
      <c r="K64" t="s">
        <v>778</v>
      </c>
      <c r="Q64" t="s">
        <v>84</v>
      </c>
    </row>
    <row r="65" spans="11:17" x14ac:dyDescent="0.35">
      <c r="K65" t="s">
        <v>17</v>
      </c>
      <c r="Q65" t="s">
        <v>779</v>
      </c>
    </row>
    <row r="66" spans="11:17" x14ac:dyDescent="0.35">
      <c r="K66" t="s">
        <v>11</v>
      </c>
      <c r="Q66" t="s">
        <v>88</v>
      </c>
    </row>
    <row r="67" spans="11:17" x14ac:dyDescent="0.35">
      <c r="K67" t="s">
        <v>780</v>
      </c>
      <c r="Q67" t="s">
        <v>60</v>
      </c>
    </row>
    <row r="68" spans="11:17" x14ac:dyDescent="0.35">
      <c r="K68" t="s">
        <v>33</v>
      </c>
      <c r="Q68" t="s">
        <v>29</v>
      </c>
    </row>
    <row r="69" spans="11:17" x14ac:dyDescent="0.35">
      <c r="K69" t="s">
        <v>35</v>
      </c>
      <c r="Q69" t="s">
        <v>781</v>
      </c>
    </row>
    <row r="70" spans="11:17" x14ac:dyDescent="0.35">
      <c r="K70" t="s">
        <v>37</v>
      </c>
      <c r="Q70" t="s">
        <v>782</v>
      </c>
    </row>
    <row r="71" spans="11:17" x14ac:dyDescent="0.35">
      <c r="K71" t="s">
        <v>30</v>
      </c>
      <c r="Q71" t="s">
        <v>783</v>
      </c>
    </row>
    <row r="72" spans="11:17" x14ac:dyDescent="0.35">
      <c r="K72" t="s">
        <v>784</v>
      </c>
      <c r="Q72" t="s">
        <v>785</v>
      </c>
    </row>
    <row r="73" spans="11:17" x14ac:dyDescent="0.35">
      <c r="K73" t="s">
        <v>786</v>
      </c>
      <c r="Q73" t="s">
        <v>32</v>
      </c>
    </row>
    <row r="74" spans="11:17" x14ac:dyDescent="0.35">
      <c r="K74" t="s">
        <v>787</v>
      </c>
      <c r="Q74" t="s">
        <v>79</v>
      </c>
    </row>
    <row r="75" spans="11:17" x14ac:dyDescent="0.35">
      <c r="K75" t="s">
        <v>788</v>
      </c>
      <c r="Q75" t="s">
        <v>789</v>
      </c>
    </row>
    <row r="76" spans="11:17" x14ac:dyDescent="0.35">
      <c r="K76" t="s">
        <v>790</v>
      </c>
      <c r="Q76" t="s">
        <v>72</v>
      </c>
    </row>
    <row r="77" spans="11:17" x14ac:dyDescent="0.35">
      <c r="K77" t="s">
        <v>791</v>
      </c>
      <c r="Q77" t="s">
        <v>41</v>
      </c>
    </row>
    <row r="78" spans="11:17" x14ac:dyDescent="0.35">
      <c r="K78" t="s">
        <v>792</v>
      </c>
      <c r="Q78" t="s">
        <v>18</v>
      </c>
    </row>
    <row r="79" spans="11:17" x14ac:dyDescent="0.35">
      <c r="K79" t="s">
        <v>793</v>
      </c>
      <c r="Q79" t="s">
        <v>12</v>
      </c>
    </row>
    <row r="80" spans="11:17" x14ac:dyDescent="0.35">
      <c r="K80" t="s">
        <v>794</v>
      </c>
      <c r="Q80" t="s">
        <v>110</v>
      </c>
    </row>
    <row r="81" spans="11:17" x14ac:dyDescent="0.35">
      <c r="K81" t="s">
        <v>795</v>
      </c>
      <c r="Q81" t="s">
        <v>104</v>
      </c>
    </row>
    <row r="82" spans="11:17" x14ac:dyDescent="0.35">
      <c r="K82" t="s">
        <v>796</v>
      </c>
      <c r="Q82" t="s">
        <v>108</v>
      </c>
    </row>
    <row r="83" spans="11:17" x14ac:dyDescent="0.35">
      <c r="K83" t="s">
        <v>797</v>
      </c>
      <c r="Q83" t="s">
        <v>798</v>
      </c>
    </row>
    <row r="84" spans="11:17" x14ac:dyDescent="0.35">
      <c r="K84" t="s">
        <v>799</v>
      </c>
      <c r="Q84" t="s">
        <v>800</v>
      </c>
    </row>
    <row r="85" spans="11:17" x14ac:dyDescent="0.35">
      <c r="K85" t="s">
        <v>801</v>
      </c>
      <c r="Q85" t="s">
        <v>802</v>
      </c>
    </row>
    <row r="86" spans="11:17" x14ac:dyDescent="0.35">
      <c r="K86" t="s">
        <v>803</v>
      </c>
      <c r="Q86" t="s">
        <v>58</v>
      </c>
    </row>
    <row r="87" spans="11:17" x14ac:dyDescent="0.35">
      <c r="K87" t="s">
        <v>804</v>
      </c>
      <c r="Q87" t="s">
        <v>805</v>
      </c>
    </row>
    <row r="88" spans="11:17" x14ac:dyDescent="0.35">
      <c r="K88" t="s">
        <v>806</v>
      </c>
      <c r="Q88" t="s">
        <v>101</v>
      </c>
    </row>
    <row r="89" spans="11:17" x14ac:dyDescent="0.35">
      <c r="K89" t="s">
        <v>807</v>
      </c>
      <c r="Q89" t="s">
        <v>808</v>
      </c>
    </row>
    <row r="90" spans="11:17" x14ac:dyDescent="0.35">
      <c r="K90" t="s">
        <v>809</v>
      </c>
      <c r="Q90" t="s">
        <v>810</v>
      </c>
    </row>
    <row r="91" spans="11:17" x14ac:dyDescent="0.35">
      <c r="K91" t="s">
        <v>811</v>
      </c>
      <c r="Q91" t="s">
        <v>23</v>
      </c>
    </row>
    <row r="92" spans="11:17" x14ac:dyDescent="0.35">
      <c r="K92" t="s">
        <v>812</v>
      </c>
      <c r="Q92" t="s">
        <v>813</v>
      </c>
    </row>
    <row r="93" spans="11:17" x14ac:dyDescent="0.35">
      <c r="K93" t="s">
        <v>814</v>
      </c>
      <c r="Q93" t="s">
        <v>815</v>
      </c>
    </row>
    <row r="94" spans="11:17" x14ac:dyDescent="0.35">
      <c r="K94" t="s">
        <v>816</v>
      </c>
      <c r="Q94" t="s">
        <v>55</v>
      </c>
    </row>
    <row r="95" spans="11:17" x14ac:dyDescent="0.35">
      <c r="K95" t="s">
        <v>817</v>
      </c>
      <c r="Q95" t="s">
        <v>96</v>
      </c>
    </row>
    <row r="96" spans="11:17" x14ac:dyDescent="0.35">
      <c r="K96" t="s">
        <v>818</v>
      </c>
      <c r="Q96" t="s">
        <v>819</v>
      </c>
    </row>
    <row r="97" spans="11:17" x14ac:dyDescent="0.35">
      <c r="K97" t="s">
        <v>820</v>
      </c>
      <c r="Q97" t="s">
        <v>821</v>
      </c>
    </row>
    <row r="98" spans="11:17" x14ac:dyDescent="0.35">
      <c r="K98" t="s">
        <v>822</v>
      </c>
      <c r="Q98" t="s">
        <v>823</v>
      </c>
    </row>
    <row r="99" spans="11:17" x14ac:dyDescent="0.35">
      <c r="K99" t="s">
        <v>824</v>
      </c>
      <c r="Q99" t="s">
        <v>94</v>
      </c>
    </row>
    <row r="100" spans="11:17" x14ac:dyDescent="0.35">
      <c r="K100" t="s">
        <v>825</v>
      </c>
      <c r="Q100" t="s">
        <v>826</v>
      </c>
    </row>
    <row r="101" spans="11:17" x14ac:dyDescent="0.35">
      <c r="K101" t="s">
        <v>827</v>
      </c>
      <c r="Q101" t="s">
        <v>64</v>
      </c>
    </row>
    <row r="102" spans="11:17" x14ac:dyDescent="0.35">
      <c r="K102" t="s">
        <v>828</v>
      </c>
      <c r="Q102" t="s">
        <v>829</v>
      </c>
    </row>
    <row r="103" spans="11:17" x14ac:dyDescent="0.35">
      <c r="K103" t="s">
        <v>830</v>
      </c>
      <c r="Q103" t="s">
        <v>831</v>
      </c>
    </row>
    <row r="104" spans="11:17" x14ac:dyDescent="0.35">
      <c r="K104" t="s">
        <v>832</v>
      </c>
      <c r="Q104" t="s">
        <v>117</v>
      </c>
    </row>
    <row r="105" spans="11:17" x14ac:dyDescent="0.35">
      <c r="K105" t="s">
        <v>833</v>
      </c>
    </row>
  </sheetData>
  <autoFilter ref="AA1:AA22" xr:uid="{87A95D7B-C802-4555-A882-80DE6C79BD35}">
    <sortState xmlns:xlrd2="http://schemas.microsoft.com/office/spreadsheetml/2017/richdata2" ref="AA2:AA22">
      <sortCondition ref="AA1:AA22"/>
    </sortState>
  </autoFilter>
  <sortState xmlns:xlrd2="http://schemas.microsoft.com/office/spreadsheetml/2017/richdata2" ref="E2:E17">
    <sortCondition ref="E5:E17"/>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40317B911211E4E81004BD7F4731DF1" ma:contentTypeVersion="3" ma:contentTypeDescription="Create a new document." ma:contentTypeScope="" ma:versionID="6dbf87649a8941d3deccfa850ccf9064">
  <xsd:schema xmlns:xsd="http://www.w3.org/2001/XMLSchema" xmlns:xs="http://www.w3.org/2001/XMLSchema" xmlns:p="http://schemas.microsoft.com/office/2006/metadata/properties" xmlns:ns2="2ed98f7f-dc16-4428-905b-d135ee18623c" targetNamespace="http://schemas.microsoft.com/office/2006/metadata/properties" ma:root="true" ma:fieldsID="51e67b897fedb9d7d923da72ed771e59" ns2:_="">
    <xsd:import namespace="2ed98f7f-dc16-4428-905b-d135ee18623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ed98f7f-dc16-4428-905b-d135ee18623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8A05E90-2528-46E6-AF8B-28D9068D2575}">
  <ds:schemaRefs>
    <ds:schemaRef ds:uri="http://schemas.microsoft.com/sharepoint/v3/contenttype/forms"/>
  </ds:schemaRefs>
</ds:datastoreItem>
</file>

<file path=customXml/itemProps2.xml><?xml version="1.0" encoding="utf-8"?>
<ds:datastoreItem xmlns:ds="http://schemas.openxmlformats.org/officeDocument/2006/customXml" ds:itemID="{A48BBE51-67FC-4916-AD2A-D01AEC64264A}">
  <ds:schemaRefs>
    <ds:schemaRef ds:uri="http://purl.org/dc/dcmitype/"/>
    <ds:schemaRef ds:uri="http://schemas.microsoft.com/office/infopath/2007/PartnerControls"/>
    <ds:schemaRef ds:uri="http://schemas.openxmlformats.org/package/2006/metadata/core-properties"/>
    <ds:schemaRef ds:uri="http://schemas.microsoft.com/office/2006/documentManagement/types"/>
    <ds:schemaRef ds:uri="http://schemas.microsoft.com/office/2006/metadata/properties"/>
    <ds:schemaRef ds:uri="http://purl.org/dc/terms/"/>
    <ds:schemaRef ds:uri="2ed98f7f-dc16-4428-905b-d135ee18623c"/>
    <ds:schemaRef ds:uri="http://www.w3.org/XML/1998/namespace"/>
    <ds:schemaRef ds:uri="http://purl.org/dc/elements/1.1/"/>
  </ds:schemaRefs>
</ds:datastoreItem>
</file>

<file path=customXml/itemProps3.xml><?xml version="1.0" encoding="utf-8"?>
<ds:datastoreItem xmlns:ds="http://schemas.openxmlformats.org/officeDocument/2006/customXml" ds:itemID="{D54A5151-259A-42FB-87B4-A8123DDBB3C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ed98f7f-dc16-4428-905b-d135ee18623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GUIA GENERAL DPTO. SERVICIOS</vt:lpstr>
      <vt:lpstr>LICITACIONES</vt:lpstr>
      <vt:lpstr>Lista opciones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Giraldo, Cristina</dc:creator>
  <cp:keywords/>
  <dc:description/>
  <cp:lastModifiedBy>Giraldo, Cristina</cp:lastModifiedBy>
  <cp:revision/>
  <dcterms:created xsi:type="dcterms:W3CDTF">2026-01-28T19:40:25Z</dcterms:created>
  <dcterms:modified xsi:type="dcterms:W3CDTF">2026-06-08T08:11:43Z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0x010100340317B911211E4E81004BD7F4731DF1</vt:lpwstr>
  </property>
</Properties>
</file>