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grammicro.sharepoint.com/sites/OG-CONTRATACINPBLICA/Shared Documents/Contratación Pública/"/>
    </mc:Choice>
  </mc:AlternateContent>
  <xr:revisionPtr revIDLastSave="2201" documentId="8_{B88BFB17-1FD6-4E25-B141-1B0C8504E84B}" xr6:coauthVersionLast="47" xr6:coauthVersionMax="47" xr10:uidLastSave="{6B0AD943-FAF3-4BCC-9BE8-F49F3E8AD1E8}"/>
  <bookViews>
    <workbookView xWindow="-75" yWindow="-16320" windowWidth="29040" windowHeight="15720" activeTab="2" xr2:uid="{463035C7-50FD-4F90-B371-60DDE8B063C5}"/>
  </bookViews>
  <sheets>
    <sheet name="GUIA GENERAL DPTO. SERVICIOS" sheetId="4" r:id="rId1"/>
    <sheet name="Resumen" sheetId="5" r:id="rId2"/>
    <sheet name="ADJUDICACIONES" sheetId="1" r:id="rId3"/>
    <sheet name="Lista opciones" sheetId="2" state="hidden" r:id="rId4"/>
  </sheets>
  <definedNames>
    <definedName name="_xlnm._FilterDatabase" localSheetId="2" hidden="1">ADJUDICACIONES!$A$1:$AA$28</definedName>
    <definedName name="_xlnm._FilterDatabase" localSheetId="3" hidden="1">'Lista opciones'!$Q$1:$Q$104</definedName>
  </definedNames>
  <calcPr calcId="191029"/>
  <pivotCaches>
    <pivotCache cacheId="6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9" i="1" l="1"/>
  <c r="E49" i="1"/>
  <c r="E48" i="1"/>
  <c r="AA47" i="1"/>
  <c r="E47" i="1"/>
  <c r="AA46" i="1"/>
  <c r="E46" i="1"/>
  <c r="AA45" i="1"/>
  <c r="E45" i="1"/>
  <c r="AA44" i="1"/>
  <c r="E44" i="1"/>
  <c r="AA43" i="1"/>
  <c r="E43" i="1"/>
  <c r="AA42" i="1"/>
  <c r="E42" i="1"/>
  <c r="AA41" i="1"/>
  <c r="E41" i="1"/>
  <c r="AA40" i="1"/>
  <c r="E40" i="1"/>
  <c r="AA39" i="1"/>
  <c r="E39" i="1"/>
  <c r="AA38" i="1"/>
  <c r="E38" i="1"/>
  <c r="AA37" i="1"/>
  <c r="E37" i="1"/>
  <c r="AA36" i="1"/>
  <c r="E36" i="1"/>
  <c r="AA35" i="1"/>
  <c r="E35" i="1"/>
  <c r="AA34" i="1"/>
  <c r="E34" i="1"/>
  <c r="AA33" i="1"/>
  <c r="E33" i="1"/>
  <c r="AA32" i="1"/>
  <c r="E32" i="1"/>
  <c r="AA31" i="1"/>
  <c r="E31" i="1"/>
  <c r="AA30" i="1"/>
  <c r="E30" i="1"/>
  <c r="AA29" i="1"/>
  <c r="E29" i="1"/>
  <c r="AA28" i="1"/>
  <c r="E28" i="1"/>
  <c r="E27" i="1"/>
  <c r="AA27" i="1"/>
  <c r="AA26" i="1"/>
  <c r="E26" i="1"/>
  <c r="AA25" i="1"/>
  <c r="E25" i="1"/>
  <c r="AA22" i="1"/>
  <c r="AA24" i="1"/>
  <c r="E24" i="1"/>
  <c r="AA23" i="1"/>
  <c r="E23" i="1"/>
  <c r="E22" i="1"/>
  <c r="E21" i="1"/>
  <c r="E20" i="1"/>
  <c r="AA19" i="1"/>
  <c r="E19" i="1"/>
  <c r="E18" i="1"/>
  <c r="AA17" i="1"/>
  <c r="E17" i="1"/>
  <c r="AA16" i="1"/>
  <c r="E16" i="1"/>
  <c r="AA15" i="1"/>
  <c r="E15" i="1"/>
  <c r="E14" i="1"/>
  <c r="AA13" i="1"/>
  <c r="E13" i="1"/>
  <c r="AA12" i="1"/>
  <c r="E12" i="1"/>
  <c r="AA11" i="1"/>
  <c r="E11" i="1"/>
  <c r="AA10" i="1"/>
  <c r="E10" i="1"/>
  <c r="AA9" i="1"/>
  <c r="E9" i="1"/>
  <c r="AA8" i="1"/>
  <c r="E8" i="1"/>
  <c r="AA7" i="1"/>
  <c r="E7" i="1"/>
  <c r="AA6" i="1"/>
  <c r="E6" i="1"/>
  <c r="AA5" i="1"/>
  <c r="E5" i="1"/>
  <c r="AA4" i="1"/>
  <c r="E4" i="1"/>
  <c r="AA3" i="1"/>
  <c r="E3" i="1"/>
  <c r="AA2" i="1"/>
  <c r="E2" i="1"/>
</calcChain>
</file>

<file path=xl/sharedStrings.xml><?xml version="1.0" encoding="utf-8"?>
<sst xmlns="http://schemas.openxmlformats.org/spreadsheetml/2006/main" count="1370" uniqueCount="573">
  <si>
    <t>Título</t>
  </si>
  <si>
    <t>Número de expediente</t>
  </si>
  <si>
    <t>CPV</t>
  </si>
  <si>
    <t>Importe</t>
  </si>
  <si>
    <t>Área Tecnológica</t>
  </si>
  <si>
    <t>Ámbito geográfico del licitador</t>
  </si>
  <si>
    <t>Comunidad autónoma del licitador</t>
  </si>
  <si>
    <t>Organismo licitador</t>
  </si>
  <si>
    <t>Mercado vertical</t>
  </si>
  <si>
    <t>Tipo de procedimiento</t>
  </si>
  <si>
    <t>Plazo de presentació de ofertas</t>
  </si>
  <si>
    <t>FOMENTO</t>
  </si>
  <si>
    <t>Mercado Vertical</t>
  </si>
  <si>
    <t>Tipo de Procedimiento</t>
  </si>
  <si>
    <t>AGE</t>
  </si>
  <si>
    <t>Andalucía</t>
  </si>
  <si>
    <t>DEFENSA</t>
  </si>
  <si>
    <t>Acuerdo Marco</t>
  </si>
  <si>
    <t>En plazo de presentación</t>
  </si>
  <si>
    <t>Autónomo</t>
  </si>
  <si>
    <t>Aragón</t>
  </si>
  <si>
    <t>EDUCACIÓN</t>
  </si>
  <si>
    <t>Contrato Menor</t>
  </si>
  <si>
    <t>Expiran en menos de 7 días</t>
  </si>
  <si>
    <t>Local</t>
  </si>
  <si>
    <t>Asturias, Principado de</t>
  </si>
  <si>
    <t>EMPLEO Y SEGURIDAD SOCIAL</t>
  </si>
  <si>
    <t>Diálogo Competitivo</t>
  </si>
  <si>
    <t>Expiran en mesos de 15 días</t>
  </si>
  <si>
    <t>Otras entidades</t>
  </si>
  <si>
    <t>Illes Balears</t>
  </si>
  <si>
    <t>Negociado con Publicidad</t>
  </si>
  <si>
    <t>Expiran en menos de 30 dias</t>
  </si>
  <si>
    <t>Provincial</t>
  </si>
  <si>
    <t>Canarias</t>
  </si>
  <si>
    <t>INTERIOR</t>
  </si>
  <si>
    <t>Negociado sin Publicidad</t>
  </si>
  <si>
    <t>Red.Es</t>
  </si>
  <si>
    <t>Cantabria</t>
  </si>
  <si>
    <t>JUSTICIA</t>
  </si>
  <si>
    <t>Negociado por exclusividad</t>
  </si>
  <si>
    <t>Universidad</t>
  </si>
  <si>
    <t>Castilla - La Mancha</t>
  </si>
  <si>
    <t>OTROS</t>
  </si>
  <si>
    <t>Normas internas</t>
  </si>
  <si>
    <t>Castilla y León</t>
  </si>
  <si>
    <t>SANIDAD</t>
  </si>
  <si>
    <t>Restringido</t>
  </si>
  <si>
    <t>Catalunya</t>
  </si>
  <si>
    <t>TRANSPORTE</t>
  </si>
  <si>
    <t>Simplificado</t>
  </si>
  <si>
    <t>Ceuta</t>
  </si>
  <si>
    <t>Sistema Dinámico de Adquisición</t>
  </si>
  <si>
    <t>Comunitat Valenciana</t>
  </si>
  <si>
    <t>Extremadura</t>
  </si>
  <si>
    <t>Galicia</t>
  </si>
  <si>
    <t>Madrid, Comunidad de</t>
  </si>
  <si>
    <t>Melilla</t>
  </si>
  <si>
    <t>Murcia, Región de</t>
  </si>
  <si>
    <t xml:space="preserve">Navarra, Comunidad Floral de </t>
  </si>
  <si>
    <t>País Vasco</t>
  </si>
  <si>
    <t>Rioja, La</t>
  </si>
  <si>
    <t>Objetivo (precio)</t>
  </si>
  <si>
    <t>Objetivo (mejoras)</t>
  </si>
  <si>
    <t>CAT 1</t>
  </si>
  <si>
    <t>CAT 2</t>
  </si>
  <si>
    <t>CAT 3</t>
  </si>
  <si>
    <t xml:space="preserve"> SERVICIOS </t>
  </si>
  <si>
    <t xml:space="preserve"> OUTSOURCING IT </t>
  </si>
  <si>
    <t xml:space="preserve"> REDES SOCIALES</t>
  </si>
  <si>
    <t xml:space="preserve"> CONSULTORíA </t>
  </si>
  <si>
    <t xml:space="preserve"> IT/TECNOLOGíA</t>
  </si>
  <si>
    <t xml:space="preserve"> DESARROLLO DE SOFTWARE</t>
  </si>
  <si>
    <t xml:space="preserve"> MANTENIMIENTO </t>
  </si>
  <si>
    <t xml:space="preserve"> HELPDESK</t>
  </si>
  <si>
    <t xml:space="preserve"> SOFTWARE </t>
  </si>
  <si>
    <t xml:space="preserve"> SOFTWARE DE GESTIóN </t>
  </si>
  <si>
    <t xml:space="preserve"> GESTIóN DOCUMENTAL/PROYECTOS DE DIGITALIZACIóN</t>
  </si>
  <si>
    <t xml:space="preserve"> OTROS SOFTWARE DE GESTIóN</t>
  </si>
  <si>
    <t xml:space="preserve"> MANTENIMIENTO SISTEMAS/HARDWARE</t>
  </si>
  <si>
    <t xml:space="preserve"> ELEARNING</t>
  </si>
  <si>
    <t xml:space="preserve"> HARDWARE </t>
  </si>
  <si>
    <t xml:space="preserve"> MICROINFORMáTICA </t>
  </si>
  <si>
    <t xml:space="preserve"> IMPRESORAS/MULTIFUNCIONALES/SCANNER</t>
  </si>
  <si>
    <t xml:space="preserve"> SOFTWARE ESPECíFICO </t>
  </si>
  <si>
    <t xml:space="preserve"> OTROS SOFTWARE</t>
  </si>
  <si>
    <t xml:space="preserve"> SERVICIOS CLOUD </t>
  </si>
  <si>
    <t xml:space="preserve"> SAAS</t>
  </si>
  <si>
    <t xml:space="preserve"> SOFTWARE DE SEGURIDAD </t>
  </si>
  <si>
    <t xml:space="preserve"> OTROS SOFTWARE DE SEGURIDAD</t>
  </si>
  <si>
    <t xml:space="preserve"> ALMACENAMIENTO </t>
  </si>
  <si>
    <t xml:space="preserve"> ALMACENAMIENTO MODULAR</t>
  </si>
  <si>
    <t xml:space="preserve"> SERVICIOS DE TELECOMUNICACIONES </t>
  </si>
  <si>
    <t xml:space="preserve"> OTROS SERVICIOS DE TELECOMUNICACIONES</t>
  </si>
  <si>
    <t xml:space="preserve"> PORTáTILES</t>
  </si>
  <si>
    <t xml:space="preserve"> ASISTENCIA TéCNICA</t>
  </si>
  <si>
    <t xml:space="preserve"> TELECOMUNICACIONES </t>
  </si>
  <si>
    <t xml:space="preserve"> ELECTRóNICA DE RED</t>
  </si>
  <si>
    <t xml:space="preserve"> SOFTWARE DE INFRAESTRUCTURA </t>
  </si>
  <si>
    <t xml:space="preserve"> BBDD</t>
  </si>
  <si>
    <t xml:space="preserve"> APLICACIONES ESPECíFICAS</t>
  </si>
  <si>
    <t xml:space="preserve"> DESARROLLO WEB/APP</t>
  </si>
  <si>
    <t xml:space="preserve"> MANTENIMIENTO APLICACIONES/SOFTWARE</t>
  </si>
  <si>
    <t xml:space="preserve"> SISTEMAS AUTóNOMOS </t>
  </si>
  <si>
    <t xml:space="preserve"> ROBóTICA</t>
  </si>
  <si>
    <t xml:space="preserve"> PCS</t>
  </si>
  <si>
    <t xml:space="preserve"> ERP</t>
  </si>
  <si>
    <t xml:space="preserve"> CONSUMIBLES</t>
  </si>
  <si>
    <t xml:space="preserve"> SEGURIDAD/RGPD</t>
  </si>
  <si>
    <t xml:space="preserve"> EADMINISTRACIóN</t>
  </si>
  <si>
    <t xml:space="preserve"> CRM</t>
  </si>
  <si>
    <t xml:space="preserve"> SOPORTE</t>
  </si>
  <si>
    <t xml:space="preserve"> SEGURIDAD ENDPOINT (ANTIVIRUS)</t>
  </si>
  <si>
    <t xml:space="preserve"> NEGOCIO</t>
  </si>
  <si>
    <t xml:space="preserve"> SERVICIOS GESTIONADOS</t>
  </si>
  <si>
    <t xml:space="preserve"> HOSTING SISTEMAS</t>
  </si>
  <si>
    <t xml:space="preserve"> AUDIOVISUALES </t>
  </si>
  <si>
    <t xml:space="preserve"> SISTEMAS AUDIOVISUALES</t>
  </si>
  <si>
    <t xml:space="preserve"> REDES DE TELECOMUNICACIONES (HARDWARE)</t>
  </si>
  <si>
    <t xml:space="preserve"> CIBERSEGURIDAD </t>
  </si>
  <si>
    <t xml:space="preserve"> FIREWALLS</t>
  </si>
  <si>
    <t xml:space="preserve"> VIDEOCONFERENCIA</t>
  </si>
  <si>
    <t xml:space="preserve"> SMART CITIES </t>
  </si>
  <si>
    <t xml:space="preserve"> SMART CITIES</t>
  </si>
  <si>
    <t xml:space="preserve"> WIFI</t>
  </si>
  <si>
    <t xml:space="preserve"> SERVIDORES </t>
  </si>
  <si>
    <t xml:space="preserve"> SERVIDORES HIGH END</t>
  </si>
  <si>
    <t xml:space="preserve"> COMPONENTES</t>
  </si>
  <si>
    <t xml:space="preserve"> FIRMA ELECTRóNICA</t>
  </si>
  <si>
    <t xml:space="preserve"> VIRTUALIZACIóN</t>
  </si>
  <si>
    <t xml:space="preserve"> SEGURIDAD </t>
  </si>
  <si>
    <t xml:space="preserve"> SISTEMAS DE CONTROL</t>
  </si>
  <si>
    <t xml:space="preserve"> INTERNET DE LAS COSAS (IOT)</t>
  </si>
  <si>
    <t xml:space="preserve"> TELECOMUNICACIONES FIJAS</t>
  </si>
  <si>
    <t xml:space="preserve"> SERVIDORES DEPARTAMENTALES</t>
  </si>
  <si>
    <t xml:space="preserve"> TELECOMUNICACIONES MóVILES</t>
  </si>
  <si>
    <t xml:space="preserve"> WEB HOSTING</t>
  </si>
  <si>
    <t xml:space="preserve"> IMPRESIóN/PAGO POR USO</t>
  </si>
  <si>
    <t xml:space="preserve"> SISTEMA OPERATIVO SERVIDOR</t>
  </si>
  <si>
    <t xml:space="preserve"> OTROS SOFTWARE DE INFRAESTRUCTURA</t>
  </si>
  <si>
    <t xml:space="preserve"> INTEGRACIóN/MIGRACIóN DE SISTEMAS</t>
  </si>
  <si>
    <t xml:space="preserve"> BACKUP SOFTWARE</t>
  </si>
  <si>
    <t xml:space="preserve"> INFRAESTRUCTURA CPD </t>
  </si>
  <si>
    <t xml:space="preserve"> CPD</t>
  </si>
  <si>
    <t xml:space="preserve"> FORMACIóN </t>
  </si>
  <si>
    <t xml:space="preserve"> FORMACIóN</t>
  </si>
  <si>
    <t xml:space="preserve"> TELEFONíA IP</t>
  </si>
  <si>
    <t xml:space="preserve"> SWITCHES SAN</t>
  </si>
  <si>
    <t xml:space="preserve"> INTERNET/DATOS</t>
  </si>
  <si>
    <t xml:space="preserve"> BPM</t>
  </si>
  <si>
    <t xml:space="preserve"> IAAS</t>
  </si>
  <si>
    <t xml:space="preserve"> OFICINA TéCNICA</t>
  </si>
  <si>
    <t xml:space="preserve"> SERVICIOS DE CIBERSEGURIDAD - SOC</t>
  </si>
  <si>
    <t xml:space="preserve"> BI (BUSINESS INTELLIGENCE)</t>
  </si>
  <si>
    <t xml:space="preserve"> TERMINALES LIGEROS</t>
  </si>
  <si>
    <t xml:space="preserve"> HIPERCONVERGENCIA (EDGE COMPUTING)</t>
  </si>
  <si>
    <t xml:space="preserve"> OTROS SERVICIOS CLOUD</t>
  </si>
  <si>
    <t xml:space="preserve"> PORTALES WEB</t>
  </si>
  <si>
    <t xml:space="preserve"> SEGURIDAD PERIMETRAL</t>
  </si>
  <si>
    <t xml:space="preserve"> ALMACENAMIENTO HIGH END</t>
  </si>
  <si>
    <t xml:space="preserve"> TABLETS</t>
  </si>
  <si>
    <t xml:space="preserve"> OTROS </t>
  </si>
  <si>
    <t xml:space="preserve"> SOLAR</t>
  </si>
  <si>
    <t xml:space="preserve"> STREAMING</t>
  </si>
  <si>
    <t xml:space="preserve"> OTROS CIBERSEGURIDAD</t>
  </si>
  <si>
    <t xml:space="preserve"> 5G</t>
  </si>
  <si>
    <t xml:space="preserve"> PAAS</t>
  </si>
  <si>
    <t xml:space="preserve"> KIOSCOS DE INFORMACIóN</t>
  </si>
  <si>
    <t xml:space="preserve"> SOFTWARE DE INTELIGENCIA ARTIFICIAL </t>
  </si>
  <si>
    <t xml:space="preserve"> INTELIGENCIA ARTIFICIAL (IA)</t>
  </si>
  <si>
    <t xml:space="preserve"> AUTOMATIZACIóN DE PROCESOS (RPA)</t>
  </si>
  <si>
    <t xml:space="preserve"> REALIDAD VIRTUAL Y AUMENTADA (VR/AR)</t>
  </si>
  <si>
    <t xml:space="preserve"> PROYECTOS DE AULAS DIGITALES</t>
  </si>
  <si>
    <t xml:space="preserve"> PROYECTOS DE MONITORIZACIóN</t>
  </si>
  <si>
    <t xml:space="preserve"> SUITES OFIMáTICA</t>
  </si>
  <si>
    <t xml:space="preserve"> SISTEMAS DE CLIMATIZACIóN</t>
  </si>
  <si>
    <t xml:space="preserve"> CIBERSEGURIDAD</t>
  </si>
  <si>
    <t xml:space="preserve"> RADIOCOMUNICACIONES </t>
  </si>
  <si>
    <t xml:space="preserve"> SISTEMA RFID</t>
  </si>
  <si>
    <t xml:space="preserve"> DISPOSITIVOS APPLE</t>
  </si>
  <si>
    <t xml:space="preserve"> SAIS</t>
  </si>
  <si>
    <t xml:space="preserve"> CABLEADO</t>
  </si>
  <si>
    <t xml:space="preserve"> BALANCEADORES</t>
  </si>
  <si>
    <t xml:space="preserve"> BACKUP HARDWARE </t>
  </si>
  <si>
    <t xml:space="preserve"> LIBRERIAS DE CINTAS</t>
  </si>
  <si>
    <t xml:space="preserve"> BLOCKCHAIN</t>
  </si>
  <si>
    <t xml:space="preserve"> GUERRA ELECTRóNICA</t>
  </si>
  <si>
    <t xml:space="preserve"> ITSM</t>
  </si>
  <si>
    <t xml:space="preserve"> SERVIDORES HPC</t>
  </si>
  <si>
    <t xml:space="preserve"> GESTIóN DE IDENTIDADES (LDAP,…)</t>
  </si>
  <si>
    <t xml:space="preserve"> CALIDAD</t>
  </si>
  <si>
    <t xml:space="preserve"> SISTEMA OPERATIVO CLIENTE</t>
  </si>
  <si>
    <t xml:space="preserve"> APPLIANCES</t>
  </si>
  <si>
    <t xml:space="preserve"> MARKETING AUTOMATION</t>
  </si>
  <si>
    <t xml:space="preserve"> TRAZABILIDAD/RFID/CAPTURA DE DATOS</t>
  </si>
  <si>
    <t xml:space="preserve"> OTROS</t>
  </si>
  <si>
    <t xml:space="preserve"> ELECTROMEDICINA</t>
  </si>
  <si>
    <t>» SERVICIOS » OUTSOURCING IT » REDES SOCIALES</t>
  </si>
  <si>
    <t>» SERVICIOS » CONSULTORíA » IT/TECNOLOGíA</t>
  </si>
  <si>
    <t>» SERVICIOS » OUTSOURCING IT » DESARROLLO DE SOFTWARE</t>
  </si>
  <si>
    <t>» SERVICIOS » MANTENIMIENTO » HELPDESK</t>
  </si>
  <si>
    <t>» SOFTWARE » SOFTWARE DE GESTIóN » GESTIóN DOCUMENTAL/PROYECTOS DE DIGITALIZACIóN</t>
  </si>
  <si>
    <t>» SOFTWARE » SOFTWARE DE GESTIóN » OTROS SOFTWARE DE GESTIóN</t>
  </si>
  <si>
    <t>» SERVICIOS » MANTENIMIENTO » MANTENIMIENTO SISTEMAS/HARDWARE</t>
  </si>
  <si>
    <t>» SOFTWARE » SOFTWARE DE GESTIóN » ELEARNING</t>
  </si>
  <si>
    <t>» HARDWARE » MICROINFORMáTICA » IMPRESORAS/MULTIFUNCIONALES/SCANNER</t>
  </si>
  <si>
    <t>» SOFTWARE » SOFTWARE ESPECíFICO » OTROS SOFTWARE</t>
  </si>
  <si>
    <t>» SERVICIOS » SERVICIOS CLOUD » SAAS</t>
  </si>
  <si>
    <t>» SOFTWARE » SOFTWARE DE SEGURIDAD » OTROS SOFTWARE DE SEGURIDAD</t>
  </si>
  <si>
    <t>» HARDWARE » ALMACENAMIENTO » ALMACENAMIENTO MODULAR</t>
  </si>
  <si>
    <t>» SERVICIOS » SERVICIOS DE TELECOMUNICACIONES » OTROS SERVICIOS DE TELECOMUNICACIONES</t>
  </si>
  <si>
    <t>» HARDWARE » MICROINFORMáTICA » PORTáTILES</t>
  </si>
  <si>
    <t>» SERVICIOS » OUTSOURCING IT » ASISTENCIA TéCNICA</t>
  </si>
  <si>
    <t>» HARDWARE » TELECOMUNICACIONES » ELECTRóNICA DE RED</t>
  </si>
  <si>
    <t>» SOFTWARE » SOFTWARE DE INFRAESTRUCTURA » BBDD</t>
  </si>
  <si>
    <t>» SOFTWARE » SOFTWARE ESPECíFICO » APLICACIONES ESPECíFICAS</t>
  </si>
  <si>
    <t>» SERVICIOS » OUTSOURCING IT » DESARROLLO WEB/APP</t>
  </si>
  <si>
    <t>» SERVICIOS » MANTENIMIENTO » MANTENIMIENTO APLICACIONES/SOFTWARE</t>
  </si>
  <si>
    <t>» HARDWARE » SISTEMAS AUTóNOMOS » ROBóTICA</t>
  </si>
  <si>
    <t>» HARDWARE » MICROINFORMáTICA » PCS</t>
  </si>
  <si>
    <t>» SOFTWARE » SOFTWARE DE GESTIóN » ERP</t>
  </si>
  <si>
    <t>» HARDWARE » MICROINFORMáTICA » CONSUMIBLES</t>
  </si>
  <si>
    <t>» SERVICIOS » CONSULTORíA » SEGURIDAD/RGPD</t>
  </si>
  <si>
    <t>» SOFTWARE » SOFTWARE DE GESTIóN » EADMINISTRACIóN</t>
  </si>
  <si>
    <t>» SOFTWARE » SOFTWARE DE GESTIóN » CRM</t>
  </si>
  <si>
    <t>» SERVICIOS » MANTENIMIENTO » SOPORTE</t>
  </si>
  <si>
    <t>» SOFTWARE » SOFTWARE DE SEGURIDAD » SEGURIDAD ENDPOINT (ANTIVIRUS)</t>
  </si>
  <si>
    <t>» SERVICIOS » CONSULTORíA » NEGOCIO</t>
  </si>
  <si>
    <t>» SERVICIOS » OUTSOURCING IT » SERVICIOS GESTIONADOS</t>
  </si>
  <si>
    <t>» SERVICIOS » OUTSOURCING IT » HOSTING SISTEMAS</t>
  </si>
  <si>
    <t>» HARDWARE » AUDIOVISUALES » SISTEMAS AUDIOVISUALES</t>
  </si>
  <si>
    <t>» HARDWARE » TELECOMUNICACIONES » REDES DE TELECOMUNICACIONES (HARDWARE)</t>
  </si>
  <si>
    <t>» HARDWARE » CIBERSEGURIDAD » FIREWALLS</t>
  </si>
  <si>
    <t>» HARDWARE » AUDIOVISUALES » VIDEOCONFERENCIA</t>
  </si>
  <si>
    <t>» SERVICIOS » SMART CITIES » SMART CITIES</t>
  </si>
  <si>
    <t>» HARDWARE » TELECOMUNICACIONES » WIFI</t>
  </si>
  <si>
    <t>» HARDWARE » SERVIDORES » SERVIDORES HIGH END</t>
  </si>
  <si>
    <t>» HARDWARE » MICROINFORMáTICA » COMPONENTES</t>
  </si>
  <si>
    <t>» SOFTWARE » SOFTWARE DE INFRAESTRUCTURA » FIRMA ELECTRóNICA</t>
  </si>
  <si>
    <t>» SOFTWARE » SOFTWARE DE INFRAESTRUCTURA » VIRTUALIZACIóN</t>
  </si>
  <si>
    <t>» HARDWARE » SEGURIDAD » SISTEMAS DE CONTROL</t>
  </si>
  <si>
    <t>» HARDWARE » TELECOMUNICACIONES » INTERNET DE LAS COSAS (IOT)</t>
  </si>
  <si>
    <t>» SERVICIOS » SERVICIOS DE TELECOMUNICACIONES » TELECOMUNICACIONES FIJAS</t>
  </si>
  <si>
    <t>» HARDWARE » SERVIDORES » SERVIDORES DEPARTAMENTALES</t>
  </si>
  <si>
    <t>» SERVICIOS » SERVICIOS DE TELECOMUNICACIONES » TELECOMUNICACIONES MóVILES</t>
  </si>
  <si>
    <t>» SERVICIOS » OUTSOURCING IT » WEB HOSTING</t>
  </si>
  <si>
    <t>» SERVICIOS » OUTSOURCING IT » IMPRESIóN/PAGO POR USO</t>
  </si>
  <si>
    <t>» SOFTWARE » SOFTWARE DE INFRAESTRUCTURA » SISTEMA OPERATIVO SERVIDOR</t>
  </si>
  <si>
    <t>» SOFTWARE » SOFTWARE DE INFRAESTRUCTURA » OTROS SOFTWARE DE INFRAESTRUCTURA</t>
  </si>
  <si>
    <t>» SERVICIOS » OUTSOURCING IT » INTEGRACIóN/MIGRACIóN DE SISTEMAS</t>
  </si>
  <si>
    <t>» SOFTWARE » SOFTWARE DE INFRAESTRUCTURA » BACKUP SOFTWARE</t>
  </si>
  <si>
    <t>» HARDWARE » INFRAESTRUCTURA CPD » CPD</t>
  </si>
  <si>
    <t>» SERVICIOS » FORMACIóN » FORMACIóN</t>
  </si>
  <si>
    <t>» HARDWARE » TELECOMUNICACIONES » TELEFONíA IP</t>
  </si>
  <si>
    <t>» HARDWARE » ALMACENAMIENTO » SWITCHES SAN</t>
  </si>
  <si>
    <t>» SERVICIOS » SERVICIOS DE TELECOMUNICACIONES » INTERNET/DATOS</t>
  </si>
  <si>
    <t>» SOFTWARE » SOFTWARE DE GESTIóN » BPM</t>
  </si>
  <si>
    <t>» SERVICIOS » SERVICIOS CLOUD » IAAS</t>
  </si>
  <si>
    <t>» SERVICIOS » OUTSOURCING IT » OFICINA TéCNICA</t>
  </si>
  <si>
    <t>» SERVICIOS » OUTSOURCING IT » SERVICIOS DE CIBERSEGURIDAD - SOC</t>
  </si>
  <si>
    <t>» SOFTWARE » SOFTWARE DE GESTIóN » BI (BUSINESS INTELLIGENCE)</t>
  </si>
  <si>
    <t>» HARDWARE » MICROINFORMáTICA » TERMINALES LIGEROS</t>
  </si>
  <si>
    <t>» HARDWARE » SERVIDORES » HIPERCONVERGENCIA (EDGE COMPUTING)</t>
  </si>
  <si>
    <t>» SERVICIOS » SERVICIOS CLOUD » OTROS SERVICIOS CLOUD</t>
  </si>
  <si>
    <t>» SOFTWARE » SOFTWARE DE INFRAESTRUCTURA » PORTALES WEB</t>
  </si>
  <si>
    <t>» HARDWARE » CIBERSEGURIDAD » SEGURIDAD PERIMETRAL</t>
  </si>
  <si>
    <t>» HARDWARE » ALMACENAMIENTO » ALMACENAMIENTO HIGH END</t>
  </si>
  <si>
    <t>» HARDWARE » MICROINFORMáTICA » TABLETS</t>
  </si>
  <si>
    <t>» OTROS » OTROS » SOLAR</t>
  </si>
  <si>
    <t>» SERVICIOS » SERVICIOS DE TELECOMUNICACIONES » STREAMING</t>
  </si>
  <si>
    <t>» HARDWARE » CIBERSEGURIDAD » OTROS CIBERSEGURIDAD</t>
  </si>
  <si>
    <t>» HARDWARE » TELECOMUNICACIONES » 5G</t>
  </si>
  <si>
    <t>» SERVICIOS » SERVICIOS CLOUD » PAAS</t>
  </si>
  <si>
    <t>» HARDWARE » AUDIOVISUALES » KIOSCOS DE INFORMACIóN</t>
  </si>
  <si>
    <t>» SOFTWARE » SOFTWARE DE INTELIGENCIA ARTIFICIAL » INTELIGENCIA ARTIFICIAL (IA)</t>
  </si>
  <si>
    <t>» HARDWARE » SISTEMAS AUTóNOMOS » AUTOMATIZACIóN DE PROCESOS (RPA)</t>
  </si>
  <si>
    <t>» HARDWARE » AUDIOVISUALES » REALIDAD VIRTUAL Y AUMENTADA (VR/AR)</t>
  </si>
  <si>
    <t>» HARDWARE » AUDIOVISUALES » PROYECTOS DE AULAS DIGITALES</t>
  </si>
  <si>
    <t>» SERVICIOS » MANTENIMIENTO » PROYECTOS DE MONITORIZACIóN</t>
  </si>
  <si>
    <t>» SOFTWARE » SOFTWARE DE INFRAESTRUCTURA » SUITES OFIMáTICA</t>
  </si>
  <si>
    <t>» HARDWARE » INFRAESTRUCTURA CPD » SISTEMAS DE CLIMATIZACIóN</t>
  </si>
  <si>
    <t>» SOFTWARE » SOFTWARE DE SEGURIDAD » CIBERSEGURIDAD</t>
  </si>
  <si>
    <t>» HARDWARE » RADIOCOMUNICACIONES » SISTEMA RFID</t>
  </si>
  <si>
    <t>» HARDWARE » MICROINFORMáTICA » DISPOSITIVOS APPLE</t>
  </si>
  <si>
    <t>» HARDWARE » INFRAESTRUCTURA CPD » SAIS</t>
  </si>
  <si>
    <t>» HARDWARE » INFRAESTRUCTURA CPD » CABLEADO</t>
  </si>
  <si>
    <t>» HARDWARE » TELECOMUNICACIONES » BALANCEADORES</t>
  </si>
  <si>
    <t>» HARDWARE » BACKUP HARDWARE » LIBRERIAS DE CINTAS</t>
  </si>
  <si>
    <t>» SOFTWARE » SOFTWARE DE SEGURIDAD » BLOCKCHAIN</t>
  </si>
  <si>
    <t>» OTROS » OTROS » GUERRA ELECTRóNICA</t>
  </si>
  <si>
    <t>» SOFTWARE » SOFTWARE DE GESTIóN » ITSM</t>
  </si>
  <si>
    <t>» HARDWARE » SERVIDORES » SERVIDORES HPC</t>
  </si>
  <si>
    <t>» SOFTWARE » SOFTWARE DE SEGURIDAD » GESTIóN DE IDENTIDADES (LDAP,…)</t>
  </si>
  <si>
    <t>» SERVICIOS » CONSULTORíA » CALIDAD</t>
  </si>
  <si>
    <t>» SOFTWARE » SOFTWARE DE INFRAESTRUCTURA » SISTEMA OPERATIVO CLIENTE</t>
  </si>
  <si>
    <t>» HARDWARE » BACKUP HARDWARE » APPLIANCES</t>
  </si>
  <si>
    <t>» SOFTWARE » SOFTWARE DE GESTIóN » MARKETING AUTOMATION</t>
  </si>
  <si>
    <t>» SOFTWARE » SOFTWARE DE GESTIóN » TRAZABILIDAD/RFID/CAPTURA DE DATOS</t>
  </si>
  <si>
    <t>» OTROS » OTROS » OTROS</t>
  </si>
  <si>
    <t>» OTROS » OTROS » ELECTROMEDICINA</t>
  </si>
  <si>
    <t>Competencia</t>
  </si>
  <si>
    <t>Hacienda y Administraciones Públicas</t>
  </si>
  <si>
    <t>Subjetivos</t>
  </si>
  <si>
    <t>Duración (meses)</t>
  </si>
  <si>
    <t>Prórrogas (meses)</t>
  </si>
  <si>
    <t>Provincia</t>
  </si>
  <si>
    <t>Madrid</t>
  </si>
  <si>
    <t>Control expediente</t>
  </si>
  <si>
    <t>Total puntos (control)</t>
  </si>
  <si>
    <t>POSIBLE PROVEEDOR</t>
  </si>
  <si>
    <t>ZELENZA</t>
  </si>
  <si>
    <t>ZELENZA / SEMIC</t>
  </si>
  <si>
    <t>ZELENZA / OXIONA</t>
  </si>
  <si>
    <t>SERVICIOS</t>
  </si>
  <si>
    <t>HARDWARE</t>
  </si>
  <si>
    <t>ÁREAS TECNOLÓGICAS DE INTERES</t>
  </si>
  <si>
    <t>Fecha adjudicación</t>
  </si>
  <si>
    <t>Adjudicatario</t>
  </si>
  <si>
    <t>Importe adjudicación vs licitación (%)</t>
  </si>
  <si>
    <t>Área Tecnológica de interés?</t>
  </si>
  <si>
    <t>SI</t>
  </si>
  <si>
    <t>Fecha recibida alerta</t>
  </si>
  <si>
    <t>Abierto</t>
  </si>
  <si>
    <t>Negociado</t>
  </si>
  <si>
    <t>Suministros y servicios necesarios para la renovación LAN del Hospital Universitario de Basurto, Hospital Universitario de Donostia y Onkologikoa. Renovación LAN del Hospital Universitario de Donostia (HUD) y Onkologikoa</t>
  </si>
  <si>
    <t>EJIE-023-2025_Lote2</t>
  </si>
  <si>
    <t>32424000 - Infraestructura de red
51300000 - Servicios de instalación de equipos de comunicaciones</t>
  </si>
  <si>
    <t>SOCIEDAD INFORMÁTICA DEL GOBIERNO VASCO (EJIE)</t>
  </si>
  <si>
    <t>TELEFÓNICA</t>
  </si>
  <si>
    <t>CIENCIA E INNOVACIÓN</t>
  </si>
  <si>
    <t>Suministro Infraestructura Almacenamiento NAS Alto Rendimiento para BATERA.</t>
  </si>
  <si>
    <t>EJIE-128-2025</t>
  </si>
  <si>
    <t>48782000 - Paquetes de software de gestión de almacenamiento
72611000 - Servicios de apoyo informático técnico</t>
  </si>
  <si>
    <t>Araba/Álava</t>
  </si>
  <si>
    <t>SPECIALIST COMPUTER CENTRES</t>
  </si>
  <si>
    <t>Suministros y servicios necesarios para la renovación LAN del Hospital Universitario de Basurto, Hospital Universitario de Donostia y Onkologikoa. Renovación LAN del Hospital Universitario de Basurto (HUB).</t>
  </si>
  <si>
    <t>EJIE-023-2025_lote1</t>
  </si>
  <si>
    <t>Contrato de suministro y servicios para la implementación del proyecto Benidorm DTI integra con la PID. Lote 1: Benidorm DTI integra con la PID</t>
  </si>
  <si>
    <t>27209/2025_lote1</t>
  </si>
  <si>
    <t>72200000 - Servicios de programación de software y de consultoría
32323500 - Sistema de vigilancia por vídeo
34926000 - Equipo de control de aparcamientos
48800000 - Sistemas y servidores de información
72224000 - Servicios de consultoría en gestión de proyectos</t>
  </si>
  <si>
    <t>Alicante/Alacant</t>
  </si>
  <si>
    <t>AYUNTAMIENTO DE BENIDORM</t>
  </si>
  <si>
    <t>NEC IBERICA</t>
  </si>
  <si>
    <t>OTROS EELL</t>
  </si>
  <si>
    <t>Contrato de suministro de material informático lote 1 Equipos portátiles y monitores</t>
  </si>
  <si>
    <t>2025/44803H_lote1</t>
  </si>
  <si>
    <t>30200000 - Equipo y material informático</t>
  </si>
  <si>
    <t>Barcelona</t>
  </si>
  <si>
    <t>AYUNTAMIENTO DE BADALONA</t>
  </si>
  <si>
    <t>SEIDOR SOLUTIONS</t>
  </si>
  <si>
    <t>Suministro mediante arrendamiento con opción a compra y mantenimiento de servidores, licencias y un sistema de almacenamiento para el Área Sanitaria de Lugo, A. Mariña y Monforte de Lemos. lote 2 Almacenamiento y copia en disco</t>
  </si>
  <si>
    <t>AB-ASL1-26-005_lote2</t>
  </si>
  <si>
    <t>48000000 - Paquetes de software y sistemas de información
30200000 - Equipo y material informático</t>
  </si>
  <si>
    <t>Lugo</t>
  </si>
  <si>
    <t>SERVICIO GALLEGO DE SALUD (SERGAS)</t>
  </si>
  <si>
    <t>EDNON</t>
  </si>
  <si>
    <t>Sanidad, Servicios Sociales e Igualdad</t>
  </si>
  <si>
    <t>Contratación de servicios de asistencia técnica, soporte y mantenimiento de los sistemas de control operacional para EMASESA</t>
  </si>
  <si>
    <t>0686/2025</t>
  </si>
  <si>
    <t>72000000 - Servicios TI: consultoría, desarrollo de software, Internet y apoyo</t>
  </si>
  <si>
    <t>Sevilla</t>
  </si>
  <si>
    <t>EMPRESA METROPOLITANA DE ABASTECIMIENTO Y SANEAMIENTO DE AGUAS DE SEVILLA</t>
  </si>
  <si>
    <t>AEG POWER SOLUTIONS IBERICA</t>
  </si>
  <si>
    <t>Fomento</t>
  </si>
  <si>
    <t>CONSEJERÍA DE PRESIDENCIA, JUSTICIA, SEGURIDAD Y SIMPLIFICACIÓN ADMINISTRATIVA DE LA COMUNIDAD AUTÓNOMA DE CANTABRIA</t>
  </si>
  <si>
    <t>2.2.65/25</t>
  </si>
  <si>
    <t>48730000 - Paquetes de software de seguridad</t>
  </si>
  <si>
    <t>EDUCACIÓN, CULTURA Y DEPORTES</t>
  </si>
  <si>
    <t>Presidencia</t>
  </si>
  <si>
    <t>Soluciones tecnológicas para la implementación de un sistema de C2 (mando y control), vigilancia y sincronismo sobre una red 5G SA (stand alone) en el Centro Nacional de Adiestramiento (CENAD) San Gregorio (Zaragoza). Lote 1 Sistema de mando y control integrado para plataformas no tripuladas</t>
  </si>
  <si>
    <t>2025/SP03032001/00000337E_lote1</t>
  </si>
  <si>
    <t>42961000 - Sistema de mando y control</t>
  </si>
  <si>
    <t>SUBDIRECCIÓN GENERAL DE GESTIÓN ECONÓMICA DEL MINISTERIO DE PRESIDENCIA</t>
  </si>
  <si>
    <t>GMV AEROSPACE AND DEFENCE</t>
  </si>
  <si>
    <t>ECONOMÍA Y HACIENDA</t>
  </si>
  <si>
    <t>Actualización de los sistemas de presentación en los centros de coordinación de salvamento marítimo de huelva, cádiz, almería, cartagena y palma de mallorca, nuevo equipamiento radar para los ccs de huelva, cádiz y almería e integración con el equipamiento electrónico existente</t>
  </si>
  <si>
    <t>EM25-897</t>
  </si>
  <si>
    <t>32500000-Equipo y material para telecomunicaciones. - undefined</t>
  </si>
  <si>
    <t>SOCIEDAD ESTATAL DE SALVAMENTO Y SEGURIDAD MARITIMA</t>
  </si>
  <si>
    <t>DENBRIDGE MARINE, LTD</t>
  </si>
  <si>
    <t>Suministro y servicios para la renovación de la arquitectura de seguridad en la red de explotación de madrid calle 30.</t>
  </si>
  <si>
    <t>2025_05_I</t>
  </si>
  <si>
    <t>48730000-Paquetes de software de seguridad - undefined
72000000-Servicios TI: consultoría, desarrollo de software, Internet y apoyo. - undefined</t>
  </si>
  <si>
    <t>MADRID CALLE 30</t>
  </si>
  <si>
    <t>SISTEMAS INTEGRALES DE REDES Y TELECOMUNICACIONES</t>
  </si>
  <si>
    <t>Soluciones tecnológicas para la implementación de un sistema de C2 (mando y control), vigilancia y sincronismo sobre una red 5G SA (stand alone) en el Centro Nacional de Adiestramiento (CENAD) San Gregorio (Zaragoza) Lote 3: Lote 3 Sistema de vigilancia y respuesta de seguridad perimetral y de zonas sensibles</t>
  </si>
  <si>
    <t>2025/SP03032001/00000337E_lote3</t>
  </si>
  <si>
    <t>SUBDIRECCIÓN GENERAL DE GESTIÓN ECONÓMICA DEL MINISTERIO DE DEFENSA</t>
  </si>
  <si>
    <t>UTE ZELENZA SISTEMAS DE INFORMACIÓN – SWARMING TECHNOLOGIES AND SOLUTIONS</t>
  </si>
  <si>
    <t>Defensa</t>
  </si>
  <si>
    <t>Suministro de portátiles con sus componentes: monitor, docking station, periféricos y accesorios para estos portátiles en el ámbito de la administración del consell</t>
  </si>
  <si>
    <t>CMAYOR/2025/21Y05/0079/CES</t>
  </si>
  <si>
    <t>30200000-Equipo y material informático. - undefined</t>
  </si>
  <si>
    <t>Valencia</t>
  </si>
  <si>
    <t>CONSEJERÍA DE GOBERNACIÓN Y JUSTICIA DE LA GENERALITAT DE LA COMUNIDAD VALENCIANA</t>
  </si>
  <si>
    <t>IDIOMUND</t>
  </si>
  <si>
    <t>Sistemas audiovisuales acreditables de la Base Retamares</t>
  </si>
  <si>
    <t>2025/SP02002001/00002439E</t>
  </si>
  <si>
    <t>32320000 - Equipo audiovisual y de televisión
30231310 - Monitores de pantalla plana
30231320 - Monitores de pantalla táctil
32300000 - Receptores de televisión y radio, y aparatos de grabación o reproducción de sonido o imagen
48952000 - Sistemas de megafonía
51310000 - Servicios de instalación de equipos de radio, televisión, sonido y vídeo</t>
  </si>
  <si>
    <t>JEFATURA DE ASUNTOS ECONÓMICOS DEL ESTADO MAYOR DE LA DEFENSA</t>
  </si>
  <si>
    <t>Suministro hardware, software y servicios asociados para la ampliación de almacenamiento de la plataforma pacs del sas</t>
  </si>
  <si>
    <t>EXPT25-00144</t>
  </si>
  <si>
    <t>48800000 - Sistemas y servidores de información</t>
  </si>
  <si>
    <t>SOCIEDAD ANDALUZA PARA EL DESARROLLO DE LAS TELECOMUNICACIONES (SANDETEL)</t>
  </si>
  <si>
    <t>SOLTEL IT</t>
  </si>
  <si>
    <t>Industria, Energía y Turismo</t>
  </si>
  <si>
    <t>Sistemas de almacenamiento del centro de procesamiento de datos (cpd) cdefp</t>
  </si>
  <si>
    <t>CONTR 2025 0000605957</t>
  </si>
  <si>
    <t>CONSEJERÍA DE DESARROLLO EDUCATIVO Y FORMACIÓN PROFESIONAL. SECRETARÍA GENERAL TÉCNICA</t>
  </si>
  <si>
    <t>GESTIÓN DE PROYECTOS DE INFORMÁTICA Y COMUNICACIONES</t>
  </si>
  <si>
    <t>Educación, Cultura y Deporte</t>
  </si>
  <si>
    <t>El presente contrato tiene carácter exclusivamente de suministro y tiene por objeto el equipamiento embarcado asociado a los sistemas de ticketing y de ayuda a la explotación de la flota de vehículos de la Empresa Malagueña de Transportes, S.A.M. (EMTSAM).</t>
  </si>
  <si>
    <t>001/2026</t>
  </si>
  <si>
    <t>38110000 - Instrumentos de navegación</t>
  </si>
  <si>
    <t>Málaga</t>
  </si>
  <si>
    <t>EMPRESA MALAGUEÑA DE TRANSPORTES, E.M.T.S.A.M.</t>
  </si>
  <si>
    <t>ELECTRONIC TRAFIC</t>
  </si>
  <si>
    <t>Contrato de suministro e instalación, en régimen de arrendamiento operativo sin opción de compra, de un sistema de videovigilancia destinado a la gestión y el control del tráfico, así como a la vigilancia de los edificios y recintos públicos de titularidad municipal, incluidas las prestaciones de mantenimiento y soporte técnico.</t>
  </si>
  <si>
    <t>25-SU-06</t>
  </si>
  <si>
    <t>35125300 - Cámaras de seguridad
34923000 - Equipo de control del tráfico rodado
45316210 - Instalación de equipo de control del tráfico</t>
  </si>
  <si>
    <t>AYUNTAMIENTO DE MISLATA</t>
  </si>
  <si>
    <t>PAVAPARK MOVILIDAD</t>
  </si>
  <si>
    <t>Adquisición de 3087 ordenadores de alta gama con monitor para escuelas de enseñanzas artísticas y ciclos formativos de centros educativos públicos de la Comunidad de Madrid. AM02_2023. Lote 10. (C19.I02.P8.S02). Ampliado hasta 3242.</t>
  </si>
  <si>
    <t>BAC21/2025 (A6281/2025)</t>
  </si>
  <si>
    <t>30231000 - Pantallas de ordenador y consolas</t>
  </si>
  <si>
    <t>CONSEJERÍA DE DIGITALIZACIÓN DE LA COMUNIDAD DE MADRID</t>
  </si>
  <si>
    <t>COMPUSOF</t>
  </si>
  <si>
    <t>Economía y Competitividad</t>
  </si>
  <si>
    <t>Pedido 1: Acuerdo Marco Para El Suministro E Instalación De Equipamiento Sipa 2025-2028</t>
  </si>
  <si>
    <t>DTC-389/2024 - 1</t>
  </si>
  <si>
    <t>48813000 - Sistema de información al pasajero</t>
  </si>
  <si>
    <t>AENA-AEROPUERTOS ESPAÑOLES Y NAVEGACIÓN AEREA</t>
  </si>
  <si>
    <t>LEDANDGO</t>
  </si>
  <si>
    <t>Suministro de hardware, software y licencias para provisión de infraestructura TIC para la Nube Corporativa de la Junta de Andalucía lote 2 Solución de almacenamiento</t>
  </si>
  <si>
    <t>EXPT25-00132_lote2</t>
  </si>
  <si>
    <t>48820000 - Servidores
48730000 - Paquetes de software de seguridad
32420000 - Equipo de red
48217000 - Paquetes de software de proceso de transacciones
48517000 - Paquetes de software de TI
50312200 - Mantenimiento y reparación de miniordenadores
50312300 - Mantenimiento y reparación de equipos de redes de datos
72263000 - Servicios de implementación de software</t>
  </si>
  <si>
    <t>SOLUTIA INNOVAWORLD TECHNOLOGIES</t>
  </si>
  <si>
    <t>Contratación del suministro de un sistema de integración audiovisual de quirófanos por el Hospital Universitari Vall d'Hebron</t>
  </si>
  <si>
    <t>CS/AH01/1101463397/26/AMUP</t>
  </si>
  <si>
    <t>48814300 - Sistema de gestión de quirófanos</t>
  </si>
  <si>
    <t>INSTITUTO CATALÁN DE LA SALUD</t>
  </si>
  <si>
    <t>RICOH</t>
  </si>
  <si>
    <t>Servicio gestionado de soporte integral al usuario y de suministro, soporte y mantenimiento de su equipo de trabajo para rtvm.</t>
  </si>
  <si>
    <t>2025-0655-SIC</t>
  </si>
  <si>
    <t>71356200 - Servicios de asistencia técnica
71356300 - Servicios de apoyo técnico
50321000 - Servicios de reparación de ordenadores personales
50322000 - Servicios de mantenimiento de ordenadores personales
48000000 - Paquetes de software y sistemas de información
30213000 - Ordenadores personales</t>
  </si>
  <si>
    <t>RADIO TELEVISIÓN MADRID</t>
  </si>
  <si>
    <t>ECONOCOM</t>
  </si>
  <si>
    <t>INFORMACIÓN Y COMUNICACIONES</t>
  </si>
  <si>
    <t>Gestión integral y mantenimiento Espai Moja</t>
  </si>
  <si>
    <t>ACPC-2026-6</t>
  </si>
  <si>
    <t>92500000 - Servicios de bibliotecas, archivos, museos y otros servicios culturales
79956000 - Servicios de organización de ferias y exposiciones</t>
  </si>
  <si>
    <t>AGENCIA CATALANA DEL PATRIMONIO CULTURAL</t>
  </si>
  <si>
    <t>PRODUCCIONS CULTURALS TRANSVERSAL</t>
  </si>
  <si>
    <t>Dotación de equipamiento del programa Código Escuela 4.0 en Andalucía. Suministro de paquetes de equipamiento de programación y robótica educativa para educación Secundaria Obligatoria</t>
  </si>
  <si>
    <t>EXPT24-00089_lote3</t>
  </si>
  <si>
    <t>31710000 - Equipo electrónico
30236000 - Equipo informático diverso
30200000 - Equipo y material informático
31700000 - Material electrónico, electromecánico y electrotécnico
31711000 - Material electrónico
31711100 - Componentes electrónicos</t>
  </si>
  <si>
    <t>Dotación de equipamiento del programa código escuela 4.0 en andalucía</t>
  </si>
  <si>
    <t>EXPT24-00089_lote2</t>
  </si>
  <si>
    <t>INUSUAL COMUNICACION INNOVADORA</t>
  </si>
  <si>
    <t>Dotación de equipamiento del programa Código Escuela 4.0 en Andalucía. Suministro de paquetes de equipamiento de programación y robótica educativa para el segundo ciclo de educación Infantil</t>
  </si>
  <si>
    <t>EXPT24-00089_lote1</t>
  </si>
  <si>
    <t>31711000 - Material electrónico
30236000 - Equipo informático diverso
30200000 - Equipo y material informático
31710000 - Equipo electrónico
31700000 - Material electrónico, electromecánico y electrotécnico
31711100 - Componentes electrónicos</t>
  </si>
  <si>
    <t>ORANGE ESPAGNE</t>
  </si>
  <si>
    <t>Total general</t>
  </si>
  <si>
    <t>Cuenta de Título</t>
  </si>
  <si>
    <t>Suma de Importe</t>
  </si>
  <si>
    <t xml:space="preserve">Total  ALMACENAMIENTO </t>
  </si>
  <si>
    <t xml:space="preserve">Total  AUDIOVISUALES </t>
  </si>
  <si>
    <t xml:space="preserve">Total  CIBERSEGURIDAD </t>
  </si>
  <si>
    <t xml:space="preserve">Total  MICROINFORMáTICA </t>
  </si>
  <si>
    <t xml:space="preserve">Total  SEGURIDAD </t>
  </si>
  <si>
    <t xml:space="preserve">Total  SERVIDORES </t>
  </si>
  <si>
    <t xml:space="preserve">Total  TELECOMUNICACIONES </t>
  </si>
  <si>
    <t>Suministro y adaptación de instrumentos y equipos de digitalización en puntos limpios de titularidad pública de Castilla-La Mancha</t>
  </si>
  <si>
    <t>2025/002253</t>
  </si>
  <si>
    <t>48000000 - Paquetes de software y sistemas de información
30200000 - Equipo y material informático
48482000 - Paquetes de software de inteligencia empresarial</t>
  </si>
  <si>
    <t>SECRETARÍA GENERAL DE LA CONSEJERÍA DE DESARROLLO SOSTENIBLE DE LA JUNTA DE COMUNIDADES DE CASTILLA-LA MANCHA</t>
  </si>
  <si>
    <t>MOVISAT TECNOMOVILIDAD</t>
  </si>
  <si>
    <t>Suministro de software y hardware para gestión de centro de control y coordinación de seguridad y emergencias en tiempo real y su mantenimiento, así como suministro de cámaras personales y embarcadas en patrullas, todo ello integrado con los sistemas actuales de la policía local de Torrejón de Ardoz</t>
  </si>
  <si>
    <t>PA 9/2026</t>
  </si>
  <si>
    <t>30200000 - Equipo y material informático
72000000 - Servicios TI: consultoría, desarrollo de software, Internet y apoyo</t>
  </si>
  <si>
    <t>AYUNTAMIENTO DE TORREJÓN DE ARDOZ</t>
  </si>
  <si>
    <t>TELEFONICA INGENIERIA DE SEGURIDAD</t>
  </si>
  <si>
    <t>Suministro e instalación de una plataforma de proteómica de ultrasensibilidad y precisión compuesta por nanoHPLC, espectrómetro de masas y equipo informático de altas prestaciones, destinado al Centro Nacional de Biotecnología de la Agencia Estatal Consejo Superior de Investigaciones Científicas.</t>
  </si>
  <si>
    <t>34566/26</t>
  </si>
  <si>
    <t>38433100 - Espectrómetros de masas
38432200 - Cromatógrafos</t>
  </si>
  <si>
    <t>CONSEJO SUPERIOR DE INVESTIGACIONES CIENTIFICAS (CSIC)</t>
  </si>
  <si>
    <t>THERMO FISHER SCIENTIFIC</t>
  </si>
  <si>
    <t>Suministro e instalación de registradores de datos, contadores de agua con comunicación NB-IOT (Calibres 15,20,25,32 y 40) y servicios de telecomunicaciones y telelectura automática</t>
  </si>
  <si>
    <t>25PERTE002.2</t>
  </si>
  <si>
    <t>38421100 - Contadores de agua</t>
  </si>
  <si>
    <t>Soria</t>
  </si>
  <si>
    <t>DIPUTACIÓN PROVINCIAL DE SORIA</t>
  </si>
  <si>
    <t>VODAFONE</t>
  </si>
  <si>
    <t>Suministro de dispositivos del entorno de trabajo y los servicios de gestión e instalación asociados a este suministro y la retirada de los dispositivos anteriores, en el Ayuntamiento de Barcelona y sus organismos adscritos, con medidas de contratación pública sostenible lote 1 Suministro de equipos portátiles, instalación y retirada de equipamiento antiguo del entorno del puesto de trabajo</t>
  </si>
  <si>
    <t>002_25000093_lote1</t>
  </si>
  <si>
    <t>30200000 - Equipo y material informático
51611000 - Servicios de instalación de ordenadores
72510000 - Servicios de gestión relacionados con la informática</t>
  </si>
  <si>
    <t>INSTITUTO MUNICIPAL DE INFORMÁTICA DE BARCELONA</t>
  </si>
  <si>
    <t>ALGORITMOS PROCESOS Y DISEÑOS</t>
  </si>
  <si>
    <t>Arrendamiento de infraestructura para el CPD sin opción a compra y adquisición de licencias Microsoft Office Standard 2024 LTSC.</t>
  </si>
  <si>
    <t>2025/0156</t>
  </si>
  <si>
    <t>30200000 - Equipo y material informático
30210000 - Máquinas procesadoras de datos (hardware)
48310000 - Paquetes de software de creación de documentos</t>
  </si>
  <si>
    <t>AYUNTAMIENTO DE LEGANÉS</t>
  </si>
  <si>
    <t>Contrato mixto de suministro para la actualización del sistema de catalogación de vídeo, de los servidores de vídeo y del sistema de almacenamiento de vídeo del Centro de Producción de Televisión del Congreso de los Diputados, para la adquisición de un sistema de subtitulado automático en directo y su instalación y puesta en marcha, así como para el servicio de soporte y mantenimiento.</t>
  </si>
  <si>
    <t>CON-P2025/0300025.0</t>
  </si>
  <si>
    <t>32000000 - Equipos de radio, televisión, comunicaciones y telecomunicaciones y equipos conexos
51310000 - Servicios de instalación de equipos de radio, televisión, sonido y vídeo
51312000 - Servicios de instalación de equipo de televisión
51314000 - Servicios de instalación de equipo de vídeo
79552000 - Servicios de tratamiento de textos</t>
  </si>
  <si>
    <t>CONGRESO DE LOS DIPUTADOS</t>
  </si>
  <si>
    <t>TELEFONICA SERVICIOS AUDIOVISUALES</t>
  </si>
  <si>
    <t>Suministro e instalación para la renovación parcial de la infraestructura de virtualización, ampliación de ésta para la creación de una plataforma de inteligencia artificial y almacenamiento asociado, así como software y servicios conexos.</t>
  </si>
  <si>
    <t>CON-P2025/5400022.0</t>
  </si>
  <si>
    <t>30211300 - Plataformas informáticas
48800000 - Sistemas y servidores de información
50312000 - Mantenimiento y reparación de equipo informático
51611100 - Servicios de instalación de equipo informático
72910000 - Servicios de copia de seguridad</t>
  </si>
  <si>
    <t>Suministro de hardware, software y licencias para provisión de infraestructura TIC para la Nube Corporativa de la Junta de Andalucía lote 3 Solución de balanceo y protección de aplicaciones web</t>
  </si>
  <si>
    <t>EXPT25-00132_lote3</t>
  </si>
  <si>
    <t>50312200 - Mantenimiento y reparación de miniordenadores
30233100 - Unidades de memoria
50312000 - Mantenimiento y reparación de equipo informático
48820000 - Servidores
48730000 - Paquetes de software de seguridad
48780000 - Paquetes de software de gestión de sistemas, almacenamiento y contenido
72263000 - Servicios de implementación de software</t>
  </si>
  <si>
    <t>TELEFONICA SOLUCIONES DE INFORMATICA Y COMUNICACIONES DE ESPAÑA</t>
  </si>
  <si>
    <t>Suministro en el marco del Proyecto Abalar de equipos para centros educativos públicos dependientes del Ministerio de Educación, Ciencia, Universidades y Formación Profesional. Lote 1: Ordenadores de sobremesa</t>
  </si>
  <si>
    <t>AMT-2025-0107_lote1</t>
  </si>
  <si>
    <t>AGENCIA PARA LA MODERNIZACIÓN TECNOLÓGICA DE GALICIA (AMTEGA)</t>
  </si>
  <si>
    <t>TECNOLOGÍAS PLEXUS</t>
  </si>
  <si>
    <t>Suministro, instalación y puesta en marcha del nuevo sistema de proyección y del equipamiento de la sala tornamira de planetario de pamplona</t>
  </si>
  <si>
    <t>8071_EXP 25-20-02</t>
  </si>
  <si>
    <t>32350000 - Partes de equipo de sonido y vídeo
38652100 - Proyectores
39111000 - Asientos</t>
  </si>
  <si>
    <t>Navarra</t>
  </si>
  <si>
    <t>NAVARRA IMPULSA CULTURA, DEPORTE Y OCIO, S.L.</t>
  </si>
  <si>
    <t>SAS RSA COSMOS</t>
  </si>
  <si>
    <t>Contrato mixto de suministro, adecuación de la sala y servicios de instalación, migración y mantenimiento del centro de proceso de datos del en el hospital universitario de fuenlabrada</t>
  </si>
  <si>
    <t>PA SUM 25-030</t>
  </si>
  <si>
    <t>48821000 - Servidores de red
50312310 - Mantenimiento de equipos de redes de datos
45259900 - Actualización de instalaciones</t>
  </si>
  <si>
    <t>HOSPITAL UNIVERSITARIO DE FUENLABRADA</t>
  </si>
  <si>
    <t>POWERNET I</t>
  </si>
  <si>
    <t>Cambio De Arquitectura, Mejoras De Seguridad En La Red Y Renovación Sistema Cctv De Sate2. Aeropuerto Adolfo Suárez Madrid-Barajas</t>
  </si>
  <si>
    <t>DIN-402/2025</t>
  </si>
  <si>
    <t>32235000 - Sistema de vigilancia en circuito cerrado</t>
  </si>
  <si>
    <t>AENA-PRESIDENCIA</t>
  </si>
  <si>
    <t>ELECNOR SEGURIDAD</t>
  </si>
  <si>
    <t>Contrato de suministro, instalación, configuración y puesta en marcha de cámaras OCR de lectura de matrículas para los sistemas de peaje de las autopistas de SEITT.</t>
  </si>
  <si>
    <t>20251073-V</t>
  </si>
  <si>
    <t>34927000 - Equipo para peajes
31642000 - Aparatos para detección electrónica</t>
  </si>
  <si>
    <t>SOCIEDAD ESTATAL DE INFRAESTRUCTURAS DEL TRANSPORTE TERRESTRE</t>
  </si>
  <si>
    <t>Implantación de la plataforma de destino del Principado de Asturias: hacia un turismo inteligente, innovador y sostenible en el ámbito del Plan de Recuperación, Transformación y Resiliencia financiado por la Unión Europea-NEXTGENERATION EU. Lote 1: Análisis, diseño e implantación técnica de la Plataforma Inteligente de Destino del Principado de Asturias</t>
  </si>
  <si>
    <t>2025000845_lote1</t>
  </si>
  <si>
    <t>72200000 - Servicios de programación de software y de consultoría
72224000 - Servicios de consultoría en gestión de proyectos</t>
  </si>
  <si>
    <t>CONSEJERÍA DE PRESIDENCIA, RETO DEMOGRÁFICO, IGUALDAD Y TURISMO DEL PRINCIPADO DE ASTURIAS</t>
  </si>
  <si>
    <t>DXC TECHNOLOGY SERVICIOS ESPAÑA</t>
  </si>
  <si>
    <t>Suministro, de equipos multifuncion de copiado, impresión y escaneado para la Consejeria de Agricultura, Ganadería y Desarrollo Sostenible</t>
  </si>
  <si>
    <t>PSU/2025/0000054943</t>
  </si>
  <si>
    <t>30120000 - Fotocopiadoras, máquinas offset e impresoras</t>
  </si>
  <si>
    <t>CONSEJERÍA DE AGRICULTURA, GANADERÍA Y DESARROLLO SOSTENIBLE DE LA JUNTA DE EXTREMADURA</t>
  </si>
  <si>
    <t>SOLITIUM</t>
  </si>
  <si>
    <t>Agricultura, Alimentación y Medio Ambiente</t>
  </si>
  <si>
    <t xml:space="preserve">Total  INFRAESTRUCTURA CPD </t>
  </si>
  <si>
    <t>Acuerdo marco para el suministro en régimen de arrendamiento de equipos informáticos a través de la central de contratación de la femp. Lote 1 : Equipos informáticos, según lo dispuesto en el apartado de características técnicas del pliego de prescripciones técnicas para Entidades Locales y/o sus Entes Dependientes con sede en la Península.</t>
  </si>
  <si>
    <t>CC.-01/2026_lote1</t>
  </si>
  <si>
    <t>30200000 - Equipo y material informático
66114000 - Servicios de arrendamiento financiero</t>
  </si>
  <si>
    <t>FEDERACIÓN ESPAÑOLA DE MUNICIPIOS Y PROVINCIAS</t>
  </si>
  <si>
    <t>BANCO BILBAO VIZCAYA ARGENTARIA (BBVA)</t>
  </si>
  <si>
    <t>Contratación en modalidad de renting del suministro y mantenimiento de equipamiento informático para la dotación del puesto de trabajo para fremap mutua colaboradora con la seguridad social nº 61.</t>
  </si>
  <si>
    <t>LICT/99/032/2024/0183</t>
  </si>
  <si>
    <t>30213000 - Ordenadores personales</t>
  </si>
  <si>
    <t>FREMAP</t>
  </si>
  <si>
    <t>EL CORTE INGLÉS</t>
  </si>
  <si>
    <t>Suministro de equipamiento para la renovación de nodos de nivel 2 cisco de la red de datos</t>
  </si>
  <si>
    <t>6.25/28510.0247</t>
  </si>
  <si>
    <t>32500000 - Equipo y material para telecomunicaciones</t>
  </si>
  <si>
    <t>ADMINISTRADOR DE INFRAESTRUCTURAS FERROVIARIAS (ADIF)</t>
  </si>
  <si>
    <t>COMFICA SOLUCIONES INTEGRALES</t>
  </si>
  <si>
    <t>Suministro de 2720 ordenadores de sobremesa para 95 centros educativos públicos, Fase 1 de renovación de aulas de informática de IES de la Conselleria de Educación, Cultura, Universidades y Empleo de la Generalitat Valenciana.</t>
  </si>
  <si>
    <t>CMAYOR/2025/19Y24/0180/CES</t>
  </si>
  <si>
    <t>CONSELLERIA DE EDUCACIÓN, CULTURA Y UNIVERSIDADES DE LA COMUNIDAD DE VALENCIA</t>
  </si>
  <si>
    <t>Suministro de renovación tecnológica de los simuladores para la formación en conducción de Cuatro Vientos, Canillejas y Hortaleza</t>
  </si>
  <si>
    <t>34151000 - Simuladores de conducción
34152000 - Simuladores de entrenamiento
98391000 - Servicios de desmantelamiento</t>
  </si>
  <si>
    <t>METRO DE MADRID, S.A.</t>
  </si>
  <si>
    <t>FUNDACIÓN PARA EL FOMENTO DE LA INNOVACIÓN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</si>
</sst>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8" formatCode="#,##0.00\ &quot;€&quot;;[Red]\-#,##0.00\ &quot;€&quot;"/>
    <numFmt numFmtId="43" formatCode="_-* #,##0.00_-;\-* #,##0.00_-;_-* &quot;-&quot;??_-;_-@_-"/>
    <numFmt numFmtId="164" formatCode="0.0%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6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 indent="2"/>
    </xf>
    <xf numFmtId="0" fontId="0" fillId="0" borderId="0" xfId="0" applyAlignment="1">
      <alignment horizontal="left" indent="2"/>
    </xf>
    <xf numFmtId="0" fontId="6" fillId="0" borderId="0" xfId="0" applyFont="1" applyAlignment="1">
      <alignment horizontal="left" indent="1"/>
    </xf>
    <xf numFmtId="0" fontId="6" fillId="3" borderId="0" xfId="0" applyFont="1" applyFill="1" applyAlignment="1">
      <alignment horizontal="left"/>
    </xf>
    <xf numFmtId="0" fontId="7" fillId="0" borderId="0" xfId="0" applyFont="1" applyAlignment="1">
      <alignment horizontal="left" inden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14" fontId="0" fillId="0" borderId="0" xfId="0" applyNumberFormat="1" applyAlignment="1">
      <alignment vertical="center"/>
    </xf>
    <xf numFmtId="164" fontId="1" fillId="0" borderId="0" xfId="1" applyNumberFormat="1" applyFont="1" applyAlignment="1">
      <alignment vertical="center" wrapText="1"/>
    </xf>
    <xf numFmtId="164" fontId="0" fillId="0" borderId="0" xfId="1" applyNumberFormat="1" applyFont="1" applyAlignment="1">
      <alignment vertical="center"/>
    </xf>
    <xf numFmtId="8" fontId="0" fillId="0" borderId="0" xfId="0" applyNumberFormat="1" applyAlignment="1">
      <alignment vertical="center"/>
    </xf>
    <xf numFmtId="0" fontId="0" fillId="0" borderId="0" xfId="0" pivotButton="1"/>
    <xf numFmtId="43" fontId="0" fillId="0" borderId="0" xfId="2" applyFont="1"/>
    <xf numFmtId="0" fontId="8" fillId="2" borderId="0" xfId="0" applyFont="1" applyFill="1" applyAlignment="1">
      <alignment horizontal="center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aldo, Cristina" refreshedDate="46146.407947106483" createdVersion="8" refreshedVersion="8" minRefreshableVersion="3" recordCount="43" xr:uid="{A449491D-3A67-44FC-8708-2BCACEAE4797}">
  <cacheSource type="worksheet">
    <worksheetSource ref="A1:AA44" sheet="ADJUDICACIONES"/>
  </cacheSource>
  <cacheFields count="27">
    <cacheField name="Fecha recibida alerta" numFmtId="14">
      <sharedItems containsSemiMixedTypes="0" containsNonDate="0" containsDate="1" containsString="0" minDate="2026-03-09T00:00:00" maxDate="2026-05-01T00:00:00"/>
    </cacheField>
    <cacheField name="Fecha adjudicación" numFmtId="14">
      <sharedItems containsSemiMixedTypes="0" containsNonDate="0" containsDate="1" containsString="0" minDate="2026-02-12T00:00:00" maxDate="2026-04-30T00:00:00"/>
    </cacheField>
    <cacheField name="Título" numFmtId="0">
      <sharedItems longText="1"/>
    </cacheField>
    <cacheField name="Número de expediente" numFmtId="0">
      <sharedItems/>
    </cacheField>
    <cacheField name="Control expediente" numFmtId="0">
      <sharedItems containsSemiMixedTypes="0" containsString="0" containsNumber="1" containsInteger="1" minValue="1" maxValue="1"/>
    </cacheField>
    <cacheField name="CPV" numFmtId="0">
      <sharedItems longText="1"/>
    </cacheField>
    <cacheField name="Importe" numFmtId="0">
      <sharedItems containsSemiMixedTypes="0" containsString="0" containsNumber="1" minValue="969919.36" maxValue="13905954.460000001"/>
    </cacheField>
    <cacheField name="Área Tecnológica" numFmtId="0">
      <sharedItems/>
    </cacheField>
    <cacheField name="Área Tecnológica de interés?" numFmtId="0">
      <sharedItems/>
    </cacheField>
    <cacheField name="CAT 1" numFmtId="0">
      <sharedItems/>
    </cacheField>
    <cacheField name="CAT 2" numFmtId="0">
      <sharedItems count="8">
        <s v=" TELECOMUNICACIONES "/>
        <s v=" ALMACENAMIENTO "/>
        <s v=" SEGURIDAD "/>
        <s v=" MICROINFORMáTICA "/>
        <s v=" CIBERSEGURIDAD "/>
        <s v=" AUDIOVISUALES "/>
        <s v=" SERVIDORES "/>
        <s v=" INFRAESTRUCTURA CPD "/>
      </sharedItems>
    </cacheField>
    <cacheField name="CAT 3" numFmtId="0">
      <sharedItems count="14">
        <s v=" ELECTRóNICA DE RED"/>
        <s v=" ALMACENAMIENTO HIGH END"/>
        <s v=" SISTEMAS DE CONTROL"/>
        <s v=" PORTáTILES"/>
        <s v=" FIREWALLS"/>
        <s v=" SEGURIDAD PERIMETRAL"/>
        <s v=" COMPONENTES"/>
        <s v=" SISTEMAS AUDIOVISUALES"/>
        <s v=" PCS"/>
        <s v=" SERVIDORES HIGH END"/>
        <s v=" IMPRESORAS/MULTIFUNCIONALES/SCANNER"/>
        <s v=" CPD"/>
        <s v=" BALANCEADORES"/>
        <s v=" INTERNET DE LAS COSAS (IOT)"/>
      </sharedItems>
    </cacheField>
    <cacheField name="Ámbito geográfico del licitador" numFmtId="0">
      <sharedItems containsNonDate="0" containsString="0" containsBlank="1"/>
    </cacheField>
    <cacheField name="Comunidad autónoma del licitador" numFmtId="0">
      <sharedItems containsBlank="1"/>
    </cacheField>
    <cacheField name="Provincia" numFmtId="0">
      <sharedItems containsBlank="1"/>
    </cacheField>
    <cacheField name="Organismo licitador" numFmtId="0">
      <sharedItems/>
    </cacheField>
    <cacheField name="Adjudicatario" numFmtId="0">
      <sharedItems count="36">
        <s v="TELEFÓNICA"/>
        <s v="SPECIALIST COMPUTER CENTRES"/>
        <s v="NEC IBERICA"/>
        <s v="SEIDOR SOLUTIONS"/>
        <s v="EDNON"/>
        <s v="AEG POWER SOLUTIONS IBERICA"/>
        <s v="GMV AEROSPACE AND DEFENCE"/>
        <s v="DENBRIDGE MARINE, LTD"/>
        <s v="SISTEMAS INTEGRALES DE REDES Y TELECOMUNICACIONES"/>
        <s v="UTE ZELENZA SISTEMAS DE INFORMACIÓN – SWARMING TECHNOLOGIES AND SOLUTIONS"/>
        <s v="IDIOMUND"/>
        <s v="SOLTEL IT"/>
        <s v="GESTIÓN DE PROYECTOS DE INFORMÁTICA Y COMUNICACIONES"/>
        <s v="ELECTRONIC TRAFIC"/>
        <s v="PAVAPARK MOVILIDAD"/>
        <s v="COMPUSOF"/>
        <s v="LEDANDGO"/>
        <s v="SOLUTIA INNOVAWORLD TECHNOLOGIES"/>
        <s v="RICOH"/>
        <s v="ECONOCOM"/>
        <s v="PRODUCCIONS CULTURALS TRANSVERSAL"/>
        <s v="INUSUAL COMUNICACION INNOVADORA"/>
        <s v="ORANGE ESPAGNE"/>
        <s v="MOVISAT TECNOMOVILIDAD"/>
        <s v="TELEFONICA INGENIERIA DE SEGURIDAD"/>
        <s v="THERMO FISHER SCIENTIFIC"/>
        <s v="VODAFONE"/>
        <s v="ALGORITMOS PROCESOS Y DISEÑOS"/>
        <s v="TELEFONICA SERVICIOS AUDIOVISUALES"/>
        <s v="TELEFONICA SOLUCIONES DE INFORMATICA Y COMUNICACIONES DE ESPAÑA"/>
        <s v="TECNOLOGÍAS PLEXUS"/>
        <s v="SAS RSA COSMOS"/>
        <s v="POWERNET I"/>
        <s v="ELECNOR SEGURIDAD"/>
        <s v="DXC TECHNOLOGY SERVICIOS ESPAÑA"/>
        <s v="SOLITIUM"/>
      </sharedItems>
    </cacheField>
    <cacheField name="Mercado vertical" numFmtId="0">
      <sharedItems/>
    </cacheField>
    <cacheField name="Competencia" numFmtId="0">
      <sharedItems containsBlank="1"/>
    </cacheField>
    <cacheField name="Tipo de procedimiento" numFmtId="0">
      <sharedItems/>
    </cacheField>
    <cacheField name="Duración (meses)" numFmtId="0">
      <sharedItems containsString="0" containsBlank="1" containsNumber="1" containsInteger="1" minValue="4" maxValue="60"/>
    </cacheField>
    <cacheField name="Prórrogas (meses)" numFmtId="0">
      <sharedItems containsNonDate="0" containsString="0" containsBlank="1"/>
    </cacheField>
    <cacheField name="Importe adjudicación vs licitación (%)" numFmtId="164">
      <sharedItems containsString="0" containsBlank="1" containsNumber="1" minValue="-0.46800000000000003" maxValue="0"/>
    </cacheField>
    <cacheField name="Objetivo (precio)" numFmtId="0">
      <sharedItems containsString="0" containsBlank="1" containsNumber="1" containsInteger="1" minValue="15" maxValue="100"/>
    </cacheField>
    <cacheField name="Objetivo (mejoras)" numFmtId="0">
      <sharedItems containsString="0" containsBlank="1" containsNumber="1" containsInteger="1" minValue="10" maxValue="69"/>
    </cacheField>
    <cacheField name="Subjetivos" numFmtId="0">
      <sharedItems containsString="0" containsBlank="1" containsNumber="1" containsInteger="1" minValue="8" maxValue="50"/>
    </cacheField>
    <cacheField name="Total puntos (control)" numFmtId="0">
      <sharedItems containsString="0" containsBlank="1" containsNumber="1" containsInteger="1" minValue="10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d v="2026-03-09T00:00:00"/>
    <d v="2026-02-16T00:00:00"/>
    <s v="Suministros y servicios necesarios para la renovación LAN del Hospital Universitario de Basurto, Hospital Universitario de Donostia y Onkologikoa. Renovación LAN del Hospital Universitario de Donostia (HUD) y Onkologikoa"/>
    <s v="EJIE-023-2025_Lote2"/>
    <n v="1"/>
    <s v="32424000 - Infraestructura de red_x000a_51300000 - Servicios de instalación de equipos de comunicaciones"/>
    <n v="3797820.87"/>
    <s v="» HARDWARE » TELECOMUNICACIONES » ELECTRóNICA DE RED"/>
    <s v="SI"/>
    <s v=" HARDWARE "/>
    <x v="0"/>
    <x v="0"/>
    <m/>
    <s v="País Vasco"/>
    <m/>
    <s v="SOCIEDAD INFORMÁTICA DEL GOBIERNO VASCO (EJIE)"/>
    <x v="0"/>
    <s v="CIENCIA E INNOVACIÓN"/>
    <s v="Hacienda y Administraciones Públicas"/>
    <s v="Abierto"/>
    <m/>
    <m/>
    <n v="-0.16819999999999999"/>
    <n v="60"/>
    <n v="40"/>
    <m/>
    <n v="100"/>
  </r>
  <r>
    <d v="2026-03-09T00:00:00"/>
    <d v="2026-02-12T00:00:00"/>
    <s v="Suministro Infraestructura Almacenamiento NAS Alto Rendimiento para BATERA."/>
    <s v="EJIE-128-2025"/>
    <n v="1"/>
    <s v="48782000 - Paquetes de software de gestión de almacenamiento_x000a_72611000 - Servicios de apoyo informático técnico"/>
    <n v="2525951.25"/>
    <s v="» HARDWARE » ALMACENAMIENTO » ALMACENAMIENTO HIGH END"/>
    <s v="SI"/>
    <s v=" HARDWARE "/>
    <x v="1"/>
    <x v="1"/>
    <m/>
    <s v="País Vasco"/>
    <s v="Araba/Álava"/>
    <s v="SOCIEDAD INFORMÁTICA DEL GOBIERNO VASCO (EJIE)"/>
    <x v="1"/>
    <s v="CIENCIA E INNOVACIÓN"/>
    <s v="Hacienda y Administraciones Públicas"/>
    <s v="Abierto"/>
    <n v="12"/>
    <m/>
    <n v="-0.158"/>
    <n v="100"/>
    <m/>
    <m/>
    <n v="100"/>
  </r>
  <r>
    <d v="2026-03-09T00:00:00"/>
    <d v="2026-02-16T00:00:00"/>
    <s v="Suministros y servicios necesarios para la renovación LAN del Hospital Universitario de Basurto, Hospital Universitario de Donostia y Onkologikoa. Renovación LAN del Hospital Universitario de Basurto (HUB)."/>
    <s v="EJIE-023-2025_lote1"/>
    <n v="1"/>
    <s v="32424000 - Infraestructura de red_x000a_51300000 - Servicios de instalación de equipos de comunicaciones"/>
    <n v="2065472"/>
    <s v="» HARDWARE » TELECOMUNICACIONES » ELECTRóNICA DE RED"/>
    <s v="SI"/>
    <s v=" HARDWARE "/>
    <x v="0"/>
    <x v="0"/>
    <m/>
    <s v="País Vasco"/>
    <m/>
    <s v="SOCIEDAD INFORMÁTICA DEL GOBIERNO VASCO (EJIE)"/>
    <x v="0"/>
    <s v="CIENCIA E INNOVACIÓN"/>
    <s v="Hacienda y Administraciones Públicas"/>
    <s v="Abierto"/>
    <n v="51"/>
    <m/>
    <n v="0"/>
    <n v="60"/>
    <n v="40"/>
    <m/>
    <n v="100"/>
  </r>
  <r>
    <d v="2026-03-09T00:00:00"/>
    <d v="2026-03-02T00:00:00"/>
    <s v="Contrato de suministro y servicios para la implementación del proyecto Benidorm DTI integra con la PID. Lote 1: Benidorm DTI integra con la PID"/>
    <s v="27209/2025_lote1"/>
    <n v="1"/>
    <s v="72200000 - Servicios de programación de software y de consultoría_x000a_32323500 - Sistema de vigilancia por vídeo_x000a_34926000 - Equipo de control de aparcamientos_x000a_48800000 - Sistemas y servidores de información_x000a_72224000 - Servicios de consultoría en gestión de proyectos"/>
    <n v="1998416"/>
    <s v="» HARDWARE » SEGURIDAD » SISTEMAS DE CONTROL"/>
    <s v="SI"/>
    <s v=" HARDWARE "/>
    <x v="2"/>
    <x v="2"/>
    <m/>
    <s v="Comunitat Valenciana"/>
    <s v="Alicante/Alacant"/>
    <s v="AYUNTAMIENTO DE BENIDORM"/>
    <x v="2"/>
    <s v="OTROS EELL"/>
    <s v="Hacienda y Administraciones Públicas"/>
    <s v="Abierto"/>
    <n v="4"/>
    <m/>
    <n v="-0.19550000000000001"/>
    <n v="100"/>
    <m/>
    <m/>
    <n v="100"/>
  </r>
  <r>
    <d v="2026-03-09T00:00:00"/>
    <d v="2026-03-06T00:00:00"/>
    <s v="Contrato de suministro de material informático lote 1 Equipos portátiles y monitores"/>
    <s v="2025/44803H_lote1"/>
    <n v="1"/>
    <s v="30200000 - Equipo y material informático"/>
    <n v="1365340.85"/>
    <s v="» HARDWARE » MICROINFORMáTICA » PORTáTILES"/>
    <s v="SI"/>
    <s v=" HARDWARE "/>
    <x v="3"/>
    <x v="3"/>
    <m/>
    <s v="Catalunya"/>
    <s v="Barcelona"/>
    <s v="AYUNTAMIENTO DE BADALONA"/>
    <x v="3"/>
    <s v="OTROS EELL"/>
    <s v="Hacienda y Administraciones Públicas"/>
    <s v="Abierto"/>
    <n v="12"/>
    <m/>
    <n v="0"/>
    <n v="90"/>
    <n v="10"/>
    <m/>
    <n v="100"/>
  </r>
  <r>
    <d v="2026-03-09T00:00:00"/>
    <d v="2026-02-25T00:00:00"/>
    <s v="Suministro mediante arrendamiento con opción a compra y mantenimiento de servidores, licencias y un sistema de almacenamiento para el Área Sanitaria de Lugo, A. Mariña y Monforte de Lemos. lote 2 Almacenamiento y copia en disco"/>
    <s v="AB-ASL1-26-005_lote2"/>
    <n v="1"/>
    <s v="48000000 - Paquetes de software y sistemas de información_x000a_30200000 - Equipo y material informático"/>
    <n v="1159000"/>
    <s v="» HARDWARE » ALMACENAMIENTO » ALMACENAMIENTO HIGH END"/>
    <s v="SI"/>
    <s v=" HARDWARE "/>
    <x v="1"/>
    <x v="1"/>
    <m/>
    <s v="Galicia"/>
    <s v="Lugo"/>
    <s v="SERVICIO GALLEGO DE SALUD (SERGAS)"/>
    <x v="4"/>
    <s v="SANIDAD"/>
    <s v="Sanidad, Servicios Sociales e Igualdad"/>
    <s v="Abierto"/>
    <n v="48"/>
    <m/>
    <n v="-0.05"/>
    <n v="80"/>
    <n v="20"/>
    <m/>
    <n v="100"/>
  </r>
  <r>
    <d v="2026-03-09T00:00:00"/>
    <d v="2026-03-09T00:00:00"/>
    <s v="Contratación de servicios de asistencia técnica, soporte y mantenimiento de los sistemas de control operacional para EMASESA"/>
    <s v="0686/2025"/>
    <n v="1"/>
    <s v="72000000 - Servicios TI: consultoría, desarrollo de software, Internet y apoyo"/>
    <n v="1041579.8"/>
    <s v="» HARDWARE » SEGURIDAD » SISTEMAS DE CONTROL"/>
    <s v="SI"/>
    <s v=" HARDWARE "/>
    <x v="2"/>
    <x v="2"/>
    <m/>
    <s v="Andalucía"/>
    <s v="Sevilla"/>
    <s v="EMPRESA METROPOLITANA DE ABASTECIMIENTO Y SANEAMIENTO DE AGUAS DE SEVILLA"/>
    <x v="5"/>
    <s v="FOMENTO"/>
    <s v="Fomento"/>
    <s v="Abierto"/>
    <n v="24"/>
    <m/>
    <n v="0"/>
    <n v="40"/>
    <n v="10"/>
    <n v="50"/>
    <n v="100"/>
  </r>
  <r>
    <d v="2026-03-09T00:00:00"/>
    <d v="2026-02-24T00:00:00"/>
    <s v="CONSEJERÍA DE PRESIDENCIA, JUSTICIA, SEGURIDAD Y SIMPLIFICACIÓN ADMINISTRATIVA DE LA COMUNIDAD AUTÓNOMA DE CANTABRIA"/>
    <s v="2.2.65/25"/>
    <n v="1"/>
    <s v="48730000 - Paquetes de software de seguridad"/>
    <n v="1030186.11"/>
    <s v="» HARDWARE » CIBERSEGURIDAD » FIREWALLS"/>
    <s v="SI"/>
    <s v=" HARDWARE "/>
    <x v="4"/>
    <x v="4"/>
    <m/>
    <s v="Cantabria"/>
    <s v="Cantabria"/>
    <s v="CONSEJERÍA DE PRESIDENCIA, JUSTICIA, SEGURIDAD Y SIMPLIFICACIÓN ADMINISTRATIVA DE LA COMUNIDAD AUTÓNOMA DE CANTABRIA"/>
    <x v="0"/>
    <s v="EDUCACIÓN, CULTURA Y DEPORTES"/>
    <s v="Presidencia"/>
    <s v="Abierto"/>
    <n v="60"/>
    <m/>
    <n v="-2.7000000000000001E-3"/>
    <n v="100"/>
    <m/>
    <m/>
    <n v="100"/>
  </r>
  <r>
    <d v="2026-03-10T00:00:00"/>
    <d v="2026-03-09T00:00:00"/>
    <s v="Soluciones tecnológicas para la implementación de un sistema de C2 (mando y control), vigilancia y sincronismo sobre una red 5G SA (stand alone) en el Centro Nacional de Adiestramiento (CENAD) San Gregorio (Zaragoza). Lote 1 Sistema de mando y control integrado para plataformas no tripuladas"/>
    <s v="2025/SP03032001/00000337E_lote1"/>
    <n v="1"/>
    <s v="42961000 - Sistema de mando y control"/>
    <n v="3285313.1"/>
    <s v="» HARDWARE » SEGURIDAD » SISTEMAS DE CONTROL"/>
    <s v="SI"/>
    <s v=" HARDWARE "/>
    <x v="2"/>
    <x v="2"/>
    <m/>
    <s v="Madrid, Comunidad de"/>
    <s v="Madrid"/>
    <s v="SUBDIRECCIÓN GENERAL DE GESTIÓN ECONÓMICA DEL MINISTERIO DE PRESIDENCIA"/>
    <x v="6"/>
    <s v="ECONOMÍA Y HACIENDA"/>
    <s v="Presidencia"/>
    <s v="Abierto"/>
    <n v="9"/>
    <m/>
    <n v="-0.30259999999999998"/>
    <n v="100"/>
    <m/>
    <m/>
    <n v="100"/>
  </r>
  <r>
    <d v="2026-03-10T00:00:00"/>
    <d v="2026-02-23T00:00:00"/>
    <s v="Actualización de los sistemas de presentación en los centros de coordinación de salvamento marítimo de huelva, cádiz, almería, cartagena y palma de mallorca, nuevo equipamiento radar para los ccs de huelva, cádiz y almería e integración con el equipamiento electrónico existente"/>
    <s v="EM25-897"/>
    <n v="1"/>
    <s v="32500000-Equipo y material para telecomunicaciones. - undefined"/>
    <n v="2697930"/>
    <s v="» HARDWARE » TELECOMUNICACIONES » ELECTRóNICA DE RED"/>
    <s v="SI"/>
    <s v=" HARDWARE "/>
    <x v="0"/>
    <x v="0"/>
    <m/>
    <s v="Madrid, Comunidad de"/>
    <s v="Madrid"/>
    <s v="SOCIEDAD ESTATAL DE SALVAMENTO Y SEGURIDAD MARITIMA"/>
    <x v="7"/>
    <s v="DEFENSA"/>
    <m/>
    <s v="Negociado sin Publicidad"/>
    <m/>
    <m/>
    <n v="-8.0000000000000004E-4"/>
    <n v="100"/>
    <m/>
    <m/>
    <n v="100"/>
  </r>
  <r>
    <d v="2026-03-10T00:00:00"/>
    <d v="2026-02-18T00:00:00"/>
    <s v="Suministro y servicios para la renovación de la arquitectura de seguridad en la red de explotación de madrid calle 30."/>
    <s v="2025_05_I"/>
    <n v="1"/>
    <s v="48730000-Paquetes de software de seguridad - undefined_x000a_72000000-Servicios TI: consultoría, desarrollo de software, Internet y apoyo. - undefined"/>
    <n v="1630643.79"/>
    <s v="» HARDWARE » CIBERSEGURIDAD » SEGURIDAD PERIMETRAL"/>
    <s v="SI"/>
    <s v=" HARDWARE "/>
    <x v="4"/>
    <x v="5"/>
    <m/>
    <s v="Madrid, Comunidad de"/>
    <s v="Madrid"/>
    <s v="MADRID CALLE 30"/>
    <x v="8"/>
    <s v="OTROS"/>
    <m/>
    <s v="Negociado sin Publicidad"/>
    <m/>
    <m/>
    <n v="-0.15359999999999999"/>
    <n v="30"/>
    <n v="45"/>
    <n v="25"/>
    <n v="100"/>
  </r>
  <r>
    <d v="2026-03-10T00:00:00"/>
    <d v="2026-03-09T00:00:00"/>
    <s v="Soluciones tecnológicas para la implementación de un sistema de C2 (mando y control), vigilancia y sincronismo sobre una red 5G SA (stand alone) en el Centro Nacional de Adiestramiento (CENAD) San Gregorio (Zaragoza) Lote 3: Lote 3 Sistema de vigilancia y respuesta de seguridad perimetral y de zonas sensibles"/>
    <s v="2025/SP03032001/00000337E_lote3"/>
    <n v="1"/>
    <s v="42961000 - Sistema de mando y control"/>
    <n v="1619834.71"/>
    <s v="» HARDWARE » SEGURIDAD » SISTEMAS DE CONTROL"/>
    <s v="SI"/>
    <s v=" HARDWARE "/>
    <x v="2"/>
    <x v="2"/>
    <m/>
    <s v="Madrid, Comunidad de"/>
    <m/>
    <s v="SUBDIRECCIÓN GENERAL DE GESTIÓN ECONÓMICA DEL MINISTERIO DE DEFENSA"/>
    <x v="9"/>
    <s v="DEFENSA"/>
    <s v="Defensa"/>
    <s v="Abierto"/>
    <n v="9"/>
    <m/>
    <n v="0"/>
    <n v="23"/>
    <n v="69"/>
    <n v="8"/>
    <n v="100"/>
  </r>
  <r>
    <d v="2026-03-11T00:00:00"/>
    <d v="2026-02-24T00:00:00"/>
    <s v="Suministro de portátiles con sus componentes: monitor, docking station, periféricos y accesorios para estos portátiles en el ámbito de la administración del consell"/>
    <s v="CMAYOR/2025/21Y05/0079/CES"/>
    <n v="1"/>
    <s v="30200000-Equipo y material informático. - undefined"/>
    <n v="1614990"/>
    <s v="» HARDWARE » MICROINFORMáTICA » COMPONENTES"/>
    <s v="SI"/>
    <s v=" HARDWARE "/>
    <x v="3"/>
    <x v="6"/>
    <m/>
    <s v="Comunitat Valenciana"/>
    <s v="Valencia"/>
    <s v="CONSEJERÍA DE GOBERNACIÓN Y JUSTICIA DE LA GENERALITAT DE LA COMUNIDAD VALENCIANA"/>
    <x v="10"/>
    <s v="EDUCACIÓN, CULTURA Y DEPORTES"/>
    <m/>
    <s v="Sistema Dinámico de Adquisición"/>
    <m/>
    <m/>
    <n v="-0.188"/>
    <m/>
    <m/>
    <m/>
    <m/>
  </r>
  <r>
    <d v="2026-03-12T00:00:00"/>
    <d v="2026-02-24T00:00:00"/>
    <s v="Sistemas audiovisuales acreditables de la Base Retamares"/>
    <s v="2025/SP02002001/00002439E"/>
    <n v="1"/>
    <s v="32320000 - Equipo audiovisual y de televisión_x000a_30231310 - Monitores de pantalla plana_x000a_30231320 - Monitores de pantalla táctil_x000a_32300000 - Receptores de televisión y radio, y aparatos de grabación o reproducción de sonido o imagen_x000a_48952000 - Sistemas de megafonía_x000a_51310000 - Servicios de instalación de equipos de radio, televisión, sonido y vídeo"/>
    <n v="2355194.7000000002"/>
    <s v="» HARDWARE » AUDIOVISUALES » SISTEMAS AUDIOVISUALES"/>
    <s v="SI"/>
    <s v=" HARDWARE "/>
    <x v="5"/>
    <x v="7"/>
    <m/>
    <s v="Madrid, Comunidad de"/>
    <s v="Madrid"/>
    <s v="JEFATURA DE ASUNTOS ECONÓMICOS DEL ESTADO MAYOR DE LA DEFENSA"/>
    <x v="0"/>
    <s v="DEFENSA"/>
    <s v="Defensa"/>
    <s v="Abierto"/>
    <n v="11"/>
    <m/>
    <n v="-5.0099999999999999E-2"/>
    <n v="75"/>
    <n v="25"/>
    <m/>
    <n v="100"/>
  </r>
  <r>
    <d v="2026-03-12T00:00:00"/>
    <d v="2026-03-12T00:00:00"/>
    <s v="Suministro hardware, software y servicios asociados para la ampliación de almacenamiento de la plataforma pacs del sas"/>
    <s v="EXPT25-00144"/>
    <n v="1"/>
    <s v="48800000 - Sistemas y servidores de información"/>
    <n v="2140740.9"/>
    <s v="» HARDWARE » ALMACENAMIENTO » ALMACENAMIENTO HIGH END"/>
    <s v="SI"/>
    <s v=" HARDWARE "/>
    <x v="1"/>
    <x v="1"/>
    <m/>
    <s v="Andalucía"/>
    <s v="Sevilla"/>
    <s v="SOCIEDAD ANDALUZA PARA EL DESARROLLO DE LAS TELECOMUNICACIONES (SANDETEL)"/>
    <x v="11"/>
    <s v="OTROS"/>
    <s v="Industria, Energía y Turismo"/>
    <s v="Abierto"/>
    <n v="48"/>
    <m/>
    <n v="0"/>
    <n v="60"/>
    <n v="40"/>
    <m/>
    <n v="100"/>
  </r>
  <r>
    <d v="2026-03-12T00:00:00"/>
    <d v="2026-02-26T00:00:00"/>
    <s v="Sistemas de almacenamiento del centro de procesamiento de datos (cpd) cdefp"/>
    <s v="CONTR 2025 0000605957"/>
    <n v="1"/>
    <s v="48800000 - Sistemas y servidores de información"/>
    <n v="1157407"/>
    <s v="» HARDWARE » ALMACENAMIENTO » ALMACENAMIENTO HIGH END"/>
    <s v="SI"/>
    <s v=" HARDWARE "/>
    <x v="1"/>
    <x v="1"/>
    <m/>
    <s v="Andalucía"/>
    <s v="Sevilla"/>
    <s v="CONSEJERÍA DE DESARROLLO EDUCATIVO Y FORMACIÓN PROFESIONAL. SECRETARÍA GENERAL TÉCNICA"/>
    <x v="12"/>
    <s v="JUSTICIA"/>
    <s v="Educación, Cultura y Deporte"/>
    <s v="Abierto"/>
    <m/>
    <m/>
    <n v="-0.27660000000000001"/>
    <n v="15"/>
    <n v="60"/>
    <n v="25"/>
    <n v="100"/>
  </r>
  <r>
    <d v="2026-03-12T00:00:00"/>
    <d v="2026-03-11T00:00:00"/>
    <s v="El presente contrato tiene carácter exclusivamente de suministro y tiene por objeto el equipamiento embarcado asociado a los sistemas de ticketing y de ayuda a la explotación de la flota de vehículos de la Empresa Malagueña de Transportes, S.A.M. (EMTSAM)."/>
    <s v="001/2026"/>
    <n v="1"/>
    <s v="38110000 - Instrumentos de navegación"/>
    <n v="1130769"/>
    <s v="» HARDWARE » SEGURIDAD » SISTEMAS DE CONTROL"/>
    <s v="SI"/>
    <s v=" HARDWARE "/>
    <x v="2"/>
    <x v="2"/>
    <m/>
    <s v="Andalucía"/>
    <s v="Málaga"/>
    <s v="EMPRESA MALAGUEÑA DE TRANSPORTES, E.M.T.S.A.M."/>
    <x v="13"/>
    <s v="TRANSPORTE"/>
    <s v="Fomento"/>
    <s v="Negociado sin Publicidad"/>
    <n v="60"/>
    <m/>
    <n v="0"/>
    <m/>
    <m/>
    <m/>
    <m/>
  </r>
  <r>
    <d v="2026-03-12T00:00:00"/>
    <d v="2026-03-09T00:00:00"/>
    <s v="Contrato de suministro e instalación, en régimen de arrendamiento operativo sin opción de compra, de un sistema de videovigilancia destinado a la gestión y el control del tráfico, así como a la vigilancia de los edificios y recintos públicos de titularidad municipal, incluidas las prestaciones de mantenimiento y soporte técnico."/>
    <s v="25-SU-06"/>
    <n v="1"/>
    <s v="35125300 - Cámaras de seguridad_x000a_34923000 - Equipo de control del tráfico rodado_x000a_45316210 - Instalación de equipo de control del tráfico"/>
    <n v="1055339"/>
    <s v="» HARDWARE » SEGURIDAD » SISTEMAS DE CONTROL"/>
    <s v="SI"/>
    <s v=" HARDWARE "/>
    <x v="2"/>
    <x v="2"/>
    <m/>
    <s v="Comunitat Valenciana"/>
    <s v="Valencia"/>
    <s v="AYUNTAMIENTO DE MISLATA"/>
    <x v="14"/>
    <s v="OTROS EELL"/>
    <s v="Hacienda y Administraciones Públicas"/>
    <s v="Abierto"/>
    <n v="60"/>
    <m/>
    <n v="-0.27160000000000001"/>
    <n v="50"/>
    <n v="50"/>
    <m/>
    <n v="100"/>
  </r>
  <r>
    <d v="2026-03-13T00:00:00"/>
    <d v="2026-03-12T00:00:00"/>
    <s v="Adquisición de 3087 ordenadores de alta gama con monitor para escuelas de enseñanzas artísticas y ciclos formativos de centros educativos públicos de la Comunidad de Madrid. AM02_2023. Lote 10. (C19.I02.P8.S02). Ampliado hasta 3242."/>
    <s v="BAC21/2025 (A6281/2025)"/>
    <n v="1"/>
    <s v="30231000 - Pantallas de ordenador y consolas"/>
    <n v="4591903.96"/>
    <s v="» HARDWARE » MICROINFORMáTICA » PCS"/>
    <s v="SI"/>
    <s v=" HARDWARE "/>
    <x v="3"/>
    <x v="8"/>
    <m/>
    <m/>
    <m/>
    <s v="CONSEJERÍA DE DIGITALIZACIÓN DE LA COMUNIDAD DE MADRID"/>
    <x v="15"/>
    <s v="CIENCIA E INNOVACIÓN"/>
    <s v="Economía y Competitividad"/>
    <s v="Acuerdo Marco"/>
    <m/>
    <m/>
    <n v="0"/>
    <m/>
    <m/>
    <m/>
    <m/>
  </r>
  <r>
    <d v="2026-03-13T00:00:00"/>
    <d v="2026-03-11T00:00:00"/>
    <s v="Pedido 1: Acuerdo Marco Para El Suministro E Instalación De Equipamiento Sipa 2025-2028"/>
    <s v="DTC-389/2024 - 1"/>
    <n v="1"/>
    <s v="48813000 - Sistema de información al pasajero"/>
    <n v="1136567.92"/>
    <s v="» HARDWARE » SEGURIDAD » SISTEMAS DE CONTROL"/>
    <s v="SI"/>
    <s v=" HARDWARE "/>
    <x v="2"/>
    <x v="2"/>
    <m/>
    <s v="Madrid, Comunidad de"/>
    <s v="Madrid"/>
    <s v="AENA-AEROPUERTOS ESPAÑOLES Y NAVEGACIÓN AEREA"/>
    <x v="16"/>
    <s v="TRANSPORTE"/>
    <s v="Fomento"/>
    <s v="Acuerdo Marco"/>
    <m/>
    <m/>
    <n v="-0.46800000000000003"/>
    <m/>
    <m/>
    <m/>
    <m/>
  </r>
  <r>
    <d v="2026-03-13T00:00:00"/>
    <d v="2026-03-12T00:00:00"/>
    <s v="Suministro de hardware, software y licencias para provisión de infraestructura TIC para la Nube Corporativa de la Junta de Andalucía lote 2 Solución de almacenamiento"/>
    <s v="EXPT25-00132_lote2"/>
    <n v="1"/>
    <s v="48820000 - Servidores_x000a_48730000 - Paquetes de software de seguridad_x000a_32420000 - Equipo de red_x000a_48217000 - Paquetes de software de proceso de transacciones_x000a_48517000 - Paquetes de software de TI_x000a_50312200 - Mantenimiento y reparación de miniordenadores_x000a_50312300 - Mantenimiento y reparación de equipos de redes de datos_x000a_72263000 - Servicios de implementación de software"/>
    <n v="1015564.28"/>
    <s v="» HARDWARE » SERVIDORES » SERVIDORES HIGH END"/>
    <s v="SI"/>
    <s v=" HARDWARE "/>
    <x v="6"/>
    <x v="9"/>
    <m/>
    <s v="Andalucía"/>
    <m/>
    <s v="SOCIEDAD ANDALUZA PARA EL DESARROLLO DE LAS TELECOMUNICACIONES (SANDETEL)"/>
    <x v="17"/>
    <s v="OTROS"/>
    <s v="Industria, Energía y Turismo"/>
    <s v="Abierto"/>
    <n v="9"/>
    <m/>
    <n v="-7.6799999999999993E-2"/>
    <n v="19"/>
    <n v="32"/>
    <n v="49"/>
    <n v="100"/>
  </r>
  <r>
    <d v="2026-03-16T00:00:00"/>
    <d v="2026-03-13T00:00:00"/>
    <s v="Contratación del suministro de un sistema de integración audiovisual de quirófanos por el Hospital Universitari Vall d'Hebron"/>
    <s v="CS/AH01/1101463397/26/AMUP"/>
    <n v="1"/>
    <s v="48814300 - Sistema de gestión de quirófanos"/>
    <n v="1165754"/>
    <s v="» HARDWARE » AUDIOVISUALES » SISTEMAS AUDIOVISUALES"/>
    <s v="SI"/>
    <s v=" HARDWARE "/>
    <x v="5"/>
    <x v="7"/>
    <m/>
    <s v="Catalunya"/>
    <s v="Barcelona"/>
    <s v="INSTITUTO CATALÁN DE LA SALUD"/>
    <x v="18"/>
    <s v="SANIDAD"/>
    <m/>
    <s v="Negociado sin Publicidad"/>
    <m/>
    <m/>
    <m/>
    <n v="100"/>
    <m/>
    <m/>
    <n v="100"/>
  </r>
  <r>
    <d v="2026-03-18T00:00:00"/>
    <d v="2026-03-18T00:00:00"/>
    <s v="Servicio gestionado de soporte integral al usuario y de suministro, soporte y mantenimiento de su equipo de trabajo para rtvm."/>
    <s v="2025-0655-SIC"/>
    <n v="1"/>
    <s v="71356200 - Servicios de asistencia técnica_x000a_71356300 - Servicios de apoyo técnico_x000a_50321000 - Servicios de reparación de ordenadores personales_x000a_50322000 - Servicios de mantenimiento de ordenadores personales_x000a_48000000 - Paquetes de software y sistemas de información_x000a_30213000 - Ordenadores personales"/>
    <n v="2940929.46"/>
    <s v="» HARDWARE » MICROINFORMáTICA » COMPONENTES"/>
    <s v="SI"/>
    <s v=" HARDWARE "/>
    <x v="3"/>
    <x v="6"/>
    <m/>
    <s v="Madrid, Comunidad de"/>
    <s v="Madrid"/>
    <s v="RADIO TELEVISIÓN MADRID"/>
    <x v="19"/>
    <s v="INFORMACIÓN Y COMUNICACIONES"/>
    <m/>
    <s v="Abierto"/>
    <n v="60"/>
    <m/>
    <n v="-0.20200000000000001"/>
    <n v="100"/>
    <m/>
    <m/>
    <n v="100"/>
  </r>
  <r>
    <d v="2026-03-18T00:00:00"/>
    <d v="2026-03-03T00:00:00"/>
    <s v="Gestión integral y mantenimiento Espai Moja"/>
    <s v="ACPC-2026-6"/>
    <n v="1"/>
    <s v="92500000 - Servicios de bibliotecas, archivos, museos y otros servicios culturales_x000a_79956000 - Servicios de organización de ferias y exposiciones"/>
    <n v="1511626.9"/>
    <s v="» HARDWARE » AUDIOVISUALES » SISTEMAS AUDIOVISUALES"/>
    <s v="SI"/>
    <s v=" HARDWARE "/>
    <x v="5"/>
    <x v="7"/>
    <m/>
    <s v="Catalunya"/>
    <m/>
    <s v="AGENCIA CATALANA DEL PATRIMONIO CULTURAL"/>
    <x v="20"/>
    <s v="EDUCACIÓN, CULTURA Y DEPORTES"/>
    <m/>
    <s v="Abierto"/>
    <n v="36"/>
    <m/>
    <n v="-0.03"/>
    <n v="35"/>
    <n v="15"/>
    <n v="50"/>
    <n v="100"/>
  </r>
  <r>
    <d v="2026-03-19T00:00:00"/>
    <d v="2026-02-20T00:00:00"/>
    <s v="Dotación de equipamiento del programa Código Escuela 4.0 en Andalucía. Suministro de paquetes de equipamiento de programación y robótica educativa para educación Secundaria Obligatoria"/>
    <s v="EXPT24-00089_lote3"/>
    <n v="1"/>
    <s v="31710000 - Equipo electrónico_x000a_30236000 - Equipo informático diverso_x000a_30200000 - Equipo y material informático_x000a_31700000 - Material electrónico, electromecánico y electrotécnico_x000a_31711000 - Material electrónico_x000a_31711100 - Componentes electrónicos"/>
    <n v="13905954.460000001"/>
    <s v="» HARDWARE » MICROINFORMáTICA » COMPONENTES"/>
    <s v="SI"/>
    <s v=" HARDWARE "/>
    <x v="3"/>
    <x v="6"/>
    <m/>
    <s v="Andalucía"/>
    <m/>
    <s v="SOCIEDAD ANDALUZA PARA EL DESARROLLO DE LAS TELECOMUNICACIONES (SANDETEL)"/>
    <x v="17"/>
    <s v="OTROS"/>
    <s v="Industria, Energía y Turismo"/>
    <s v="Abierto"/>
    <m/>
    <m/>
    <n v="0"/>
    <n v="100"/>
    <m/>
    <m/>
    <n v="100"/>
  </r>
  <r>
    <d v="2026-03-19T00:00:00"/>
    <d v="2026-02-20T00:00:00"/>
    <s v="Dotación de equipamiento del programa código escuela 4.0 en andalucía"/>
    <s v="EXPT24-00089_lote2"/>
    <n v="1"/>
    <s v="31710000 - Equipo electrónico_x000a_30236000 - Equipo informático diverso_x000a_30200000 - Equipo y material informático_x000a_31700000 - Material electrónico, electromecánico y electrotécnico_x000a_31711000 - Material electrónico_x000a_31711100 - Componentes electrónicos"/>
    <n v="12173425.210000001"/>
    <s v="» HARDWARE » MICROINFORMáTICA » COMPONENTES"/>
    <s v="SI"/>
    <s v=" HARDWARE "/>
    <x v="3"/>
    <x v="6"/>
    <m/>
    <s v="Andalucía"/>
    <m/>
    <s v="SOCIEDAD ANDALUZA PARA EL DESARROLLO DE LAS TELECOMUNICACIONES (SANDETEL)"/>
    <x v="21"/>
    <s v="OTROS"/>
    <s v="Industria, Energía y Turismo"/>
    <s v="Abierto"/>
    <m/>
    <m/>
    <n v="0"/>
    <n v="100"/>
    <m/>
    <m/>
    <n v="100"/>
  </r>
  <r>
    <d v="2026-03-19T00:00:00"/>
    <d v="2026-02-20T00:00:00"/>
    <s v="Dotación de equipamiento del programa Código Escuela 4.0 en Andalucía. Suministro de paquetes de equipamiento de programación y robótica educativa para el segundo ciclo de educación Infantil"/>
    <s v="EXPT24-00089_lote1"/>
    <n v="1"/>
    <s v="31711000 - Material electrónico_x000a_30236000 - Equipo informático diverso_x000a_30200000 - Equipo y material informático_x000a_31710000 - Equipo electrónico_x000a_31700000 - Material electrónico, electromecánico y electrotécnico_x000a_31711100 - Componentes electrónicos"/>
    <n v="6525545.8799999999"/>
    <s v="» HARDWARE » MICROINFORMáTICA » COMPONENTES"/>
    <s v="SI"/>
    <s v=" HARDWARE "/>
    <x v="3"/>
    <x v="6"/>
    <m/>
    <s v="Andalucía"/>
    <m/>
    <s v="SOCIEDAD ANDALUZA PARA EL DESARROLLO DE LAS TELECOMUNICACIONES (SANDETEL)"/>
    <x v="22"/>
    <s v="OTROS"/>
    <s v="Industria, Energía y Turismo"/>
    <s v="Abierto"/>
    <m/>
    <m/>
    <n v="0"/>
    <n v="100"/>
    <m/>
    <m/>
    <n v="100"/>
  </r>
  <r>
    <d v="2026-03-19T00:00:00"/>
    <d v="2026-03-19T00:00:00"/>
    <s v="Suministro y adaptación de instrumentos y equipos de digitalización en puntos limpios de titularidad pública de Castilla-La Mancha"/>
    <s v="2025/002253"/>
    <n v="1"/>
    <s v="48000000 - Paquetes de software y sistemas de información_x000a_30200000 - Equipo y material informático_x000a_48482000 - Paquetes de software de inteligencia empresarial"/>
    <n v="1120600"/>
    <s v="» HARDWARE » MICROINFORMáTICA » IMPRESORAS/MULTIFUNCIONALES/SCANNER"/>
    <s v="SI"/>
    <s v=" HARDWARE "/>
    <x v="3"/>
    <x v="10"/>
    <m/>
    <s v="Castilla - La Mancha"/>
    <m/>
    <s v="SECRETARÍA GENERAL DE LA CONSEJERÍA DE DESARROLLO SOSTENIBLE DE LA JUNTA DE COMUNIDADES DE CASTILLA-LA MANCHA"/>
    <x v="23"/>
    <s v="ECONOMÍA Y HACIENDA"/>
    <s v="Industria, Energía y Turismo"/>
    <s v="Abierto"/>
    <n v="8"/>
    <m/>
    <n v="-0.35"/>
    <n v="60"/>
    <n v="40"/>
    <m/>
    <n v="100"/>
  </r>
  <r>
    <d v="2026-03-24T00:00:00"/>
    <d v="2026-03-23T00:00:00"/>
    <s v="Suministro de software y hardware para gestión de centro de control y coordinación de seguridad y emergencias en tiempo real y su mantenimiento, así como suministro de cámaras personales y embarcadas en patrullas, todo ello integrado con los sistemas actuales de la policía local de Torrejón de Ardoz"/>
    <s v="PA 9/2026"/>
    <n v="1"/>
    <s v="30200000 - Equipo y material informático_x000a_72000000 - Servicios TI: consultoría, desarrollo de software, Internet y apoyo"/>
    <n v="1089146.54"/>
    <s v="» HARDWARE » SEGURIDAD » SISTEMAS DE CONTROL"/>
    <s v="SI"/>
    <s v=" HARDWARE "/>
    <x v="2"/>
    <x v="2"/>
    <m/>
    <s v="Madrid, Comunidad de"/>
    <m/>
    <s v="AYUNTAMIENTO DE TORREJÓN DE ARDOZ"/>
    <x v="24"/>
    <s v="OTROS EELL"/>
    <s v="Hacienda y Administraciones Públicas"/>
    <s v="Abierto"/>
    <n v="60"/>
    <m/>
    <n v="-8.0000000000000004E-4"/>
    <n v="55"/>
    <n v="15"/>
    <n v="30"/>
    <n v="100"/>
  </r>
  <r>
    <d v="2026-03-26T00:00:00"/>
    <d v="2026-03-18T00:00:00"/>
    <s v="Suministro e instalación de una plataforma de proteómica de ultrasensibilidad y precisión compuesta por nanoHPLC, espectrómetro de masas y equipo informático de altas prestaciones, destinado al Centro Nacional de Biotecnología de la Agencia Estatal Consejo Superior de Investigaciones Científicas."/>
    <s v="34566/26"/>
    <n v="1"/>
    <s v="38433100 - Espectrómetros de masas_x000a_38432200 - Cromatógrafos"/>
    <n v="1099987.53"/>
    <s v="» HARDWARE » MICROINFORMáTICA » PCS"/>
    <s v="SI"/>
    <s v=" HARDWARE "/>
    <x v="3"/>
    <x v="8"/>
    <m/>
    <s v="Madrid, Comunidad de"/>
    <s v="Madrid"/>
    <s v="CONSEJO SUPERIOR DE INVESTIGACIONES CIENTIFICAS (CSIC)"/>
    <x v="25"/>
    <s v="EDUCACIÓN, CULTURA Y DEPORTES"/>
    <s v="Economía y Competitividad"/>
    <s v="Abierto"/>
    <m/>
    <m/>
    <n v="0"/>
    <n v="90"/>
    <n v="10"/>
    <m/>
    <n v="100"/>
  </r>
  <r>
    <d v="2026-03-31T00:00:00"/>
    <d v="2026-03-30T00:00:00"/>
    <s v="Suministro e instalación de registradores de datos, contadores de agua con comunicación NB-IOT (Calibres 15,20,25,32 y 40) y servicios de telecomunicaciones y telelectura automática"/>
    <s v="25PERTE002.2"/>
    <n v="1"/>
    <s v="38421100 - Contadores de agua"/>
    <n v="2661539.7999999998"/>
    <s v="» HARDWARE » SEGURIDAD » SISTEMAS DE CONTROL"/>
    <s v="SI"/>
    <s v=" HARDWARE "/>
    <x v="2"/>
    <x v="2"/>
    <m/>
    <s v="Castilla y León"/>
    <s v="Soria"/>
    <s v="DIPUTACIÓN PROVINCIAL DE SORIA"/>
    <x v="26"/>
    <s v="OTROS EELL"/>
    <m/>
    <s v="Abierto"/>
    <m/>
    <m/>
    <n v="-0.45850000000000002"/>
    <n v="100"/>
    <m/>
    <m/>
    <n v="100"/>
  </r>
  <r>
    <d v="2026-03-31T00:00:00"/>
    <d v="2026-03-26T00:00:00"/>
    <s v="Suministro de dispositivos del entorno de trabajo y los servicios de gestión e instalación asociados a este suministro y la retirada de los dispositivos anteriores, en el Ayuntamiento de Barcelona y sus organismos adscritos, con medidas de contratación pública sostenible lote 1 Suministro de equipos portátiles, instalación y retirada de equipamiento antiguo del entorno del puesto de trabajo"/>
    <s v="002_25000093_lote1"/>
    <n v="1"/>
    <s v="30200000 - Equipo y material informático_x000a_51611000 - Servicios de instalación de ordenadores_x000a_72510000 - Servicios de gestión relacionados con la informática"/>
    <n v="1375876"/>
    <s v="» HARDWARE » MICROINFORMáTICA » PORTáTILES"/>
    <s v="SI"/>
    <s v=" HARDWARE "/>
    <x v="3"/>
    <x v="3"/>
    <m/>
    <s v="Catalunya"/>
    <s v="Barcelona"/>
    <s v="INSTITUTO MUNICIPAL DE INFORMÁTICA DE BARCELONA"/>
    <x v="27"/>
    <s v="CIENCIA E INNOVACIÓN"/>
    <s v="Industria, Energía y Turismo"/>
    <s v="Abierto"/>
    <n v="10"/>
    <m/>
    <n v="-0.443"/>
    <n v="75"/>
    <n v="25"/>
    <m/>
    <n v="100"/>
  </r>
  <r>
    <d v="2026-04-09T00:00:00"/>
    <d v="2026-04-07T00:00:00"/>
    <s v="Arrendamiento de infraestructura para el CPD sin opción a compra y adquisición de licencias Microsoft Office Standard 2024 LTSC."/>
    <s v="2025/0156"/>
    <n v="1"/>
    <s v="30200000 - Equipo y material informático_x000a_30210000 - Máquinas procesadoras de datos (hardware)_x000a_48310000 - Paquetes de software de creación de documentos"/>
    <n v="1483740.32"/>
    <s v="» HARDWARE » INFRAESTRUCTURA CPD » CPD"/>
    <s v="SI"/>
    <s v=" HARDWARE "/>
    <x v="7"/>
    <x v="11"/>
    <m/>
    <s v="Madrid, Comunidad de"/>
    <s v="Madrid"/>
    <s v="AYUNTAMIENTO DE LEGANÉS"/>
    <x v="1"/>
    <s v="OTROS EELL"/>
    <s v="Hacienda y Administraciones Públicas"/>
    <s v="Abierto"/>
    <n v="60"/>
    <m/>
    <n v="-4.4699999999999997E-2"/>
    <n v="35"/>
    <n v="50"/>
    <n v="15"/>
    <n v="100"/>
  </r>
  <r>
    <d v="2026-04-15T00:00:00"/>
    <d v="2026-03-27T00:00:00"/>
    <s v="Contrato mixto de suministro para la actualización del sistema de catalogación de vídeo, de los servidores de vídeo y del sistema de almacenamiento de vídeo del Centro de Producción de Televisión del Congreso de los Diputados, para la adquisición de un sistema de subtitulado automático en directo y su instalación y puesta en marcha, así como para el servicio de soporte y mantenimiento."/>
    <s v="CON-P2025/0300025.0"/>
    <n v="1"/>
    <s v="32000000 - Equipos de radio, televisión, comunicaciones y telecomunicaciones y equipos conexos_x000a_51310000 - Servicios de instalación de equipos de radio, televisión, sonido y vídeo_x000a_51312000 - Servicios de instalación de equipo de televisión_x000a_51314000 - Servicios de instalación de equipo de vídeo_x000a_79552000 - Servicios de tratamiento de textos"/>
    <n v="2153762.23"/>
    <s v="» HARDWARE » ALMACENAMIENTO » ALMACENAMIENTO HIGH END"/>
    <s v="SI"/>
    <s v=" HARDWARE "/>
    <x v="1"/>
    <x v="1"/>
    <m/>
    <s v="Madrid, Comunidad de"/>
    <s v="Madrid"/>
    <s v="CONGRESO DE LOS DIPUTADOS"/>
    <x v="28"/>
    <s v="OTROS"/>
    <s v="Presidencia"/>
    <s v="Abierto"/>
    <n v="6"/>
    <m/>
    <n v="-2.8999999999999998E-3"/>
    <n v="85"/>
    <n v="15"/>
    <m/>
    <n v="100"/>
  </r>
  <r>
    <d v="2026-04-15T00:00:00"/>
    <d v="2026-03-27T00:00:00"/>
    <s v="Suministro e instalación para la renovación parcial de la infraestructura de virtualización, ampliación de ésta para la creación de una plataforma de inteligencia artificial y almacenamiento asociado, así como software y servicios conexos."/>
    <s v="CON-P2025/5400022.0"/>
    <n v="1"/>
    <s v="30211300 - Plataformas informáticas_x000a_48800000 - Sistemas y servidores de información_x000a_50312000 - Mantenimiento y reparación de equipo informático_x000a_51611100 - Servicios de instalación de equipo informático_x000a_72910000 - Servicios de copia de seguridad"/>
    <n v="1922677.85"/>
    <s v="» HARDWARE » SERVIDORES » SERVIDORES HIGH END"/>
    <s v="SI"/>
    <s v=" HARDWARE "/>
    <x v="6"/>
    <x v="9"/>
    <m/>
    <s v="Madrid, Comunidad de"/>
    <s v="Madrid"/>
    <s v="CONGRESO DE LOS DIPUTADOS"/>
    <x v="1"/>
    <s v="OTROS"/>
    <s v="Presidencia"/>
    <s v="Abierto"/>
    <n v="9"/>
    <m/>
    <n v="-0.15659999999999999"/>
    <n v="50"/>
    <m/>
    <n v="50"/>
    <n v="100"/>
  </r>
  <r>
    <d v="2026-04-21T00:00:00"/>
    <d v="2026-03-30T00:00:00"/>
    <s v="Suministro de hardware, software y licencias para provisión de infraestructura TIC para la Nube Corporativa de la Junta de Andalucía lote 3 Solución de balanceo y protección de aplicaciones web"/>
    <s v="EXPT25-00132_lote3"/>
    <n v="1"/>
    <s v="50312200 - Mantenimiento y reparación de miniordenadores_x000a_30233100 - Unidades de memoria_x000a_50312000 - Mantenimiento y reparación de equipo informático_x000a_48820000 - Servidores_x000a_48730000 - Paquetes de software de seguridad_x000a_48780000 - Paquetes de software de gestión de sistemas, almacenamiento y contenido_x000a_72263000 - Servicios de implementación de software"/>
    <n v="2234513.64"/>
    <s v="» HARDWARE » TELECOMUNICACIONES » BALANCEADORES"/>
    <s v="SI"/>
    <s v=" HARDWARE "/>
    <x v="0"/>
    <x v="12"/>
    <m/>
    <s v="Andalucía"/>
    <m/>
    <s v="SOCIEDAD ANDALUZA PARA EL DESARROLLO DE LAS TELECOMUNICACIONES (SANDETEL)"/>
    <x v="29"/>
    <s v="OTROS"/>
    <s v="Industria, Energía y Turismo"/>
    <s v="Abierto"/>
    <n v="9"/>
    <m/>
    <n v="-0.1147"/>
    <n v="17"/>
    <n v="34"/>
    <n v="49"/>
    <n v="100"/>
  </r>
  <r>
    <d v="2026-04-23T00:00:00"/>
    <d v="2026-04-21T00:00:00"/>
    <s v="Suministro en el marco del Proyecto Abalar de equipos para centros educativos públicos dependientes del Ministerio de Educación, Ciencia, Universidades y Formación Profesional. Lote 1: Ordenadores de sobremesa"/>
    <s v="AMT-2025-0107_lote1"/>
    <n v="1"/>
    <s v="30200000 - Equipo y material informático"/>
    <n v="6700000"/>
    <s v="» HARDWARE » MICROINFORMáTICA » PCS"/>
    <s v="SI"/>
    <s v=" HARDWARE "/>
    <x v="3"/>
    <x v="8"/>
    <m/>
    <m/>
    <m/>
    <s v="AGENCIA PARA LA MODERNIZACIÓN TECNOLÓGICA DE GALICIA (AMTEGA)"/>
    <x v="30"/>
    <s v="CIENCIA E INNOVACIÓN"/>
    <s v="Educación, Cultura y Deporte"/>
    <s v="Acuerdo Marco"/>
    <n v="36"/>
    <m/>
    <n v="0"/>
    <n v="40"/>
    <n v="10"/>
    <n v="50"/>
    <n v="100"/>
  </r>
  <r>
    <d v="2026-04-23T00:00:00"/>
    <d v="2026-04-13T00:00:00"/>
    <s v="Suministro, instalación y puesta en marcha del nuevo sistema de proyección y del equipamiento de la sala tornamira de planetario de pamplona"/>
    <s v="8071_EXP 25-20-02"/>
    <n v="1"/>
    <s v="32350000 - Partes de equipo de sonido y vídeo_x000a_38652100 - Proyectores_x000a_39111000 - Asientos"/>
    <n v="2478000"/>
    <s v="» HARDWARE » AUDIOVISUALES » SISTEMAS AUDIOVISUALES"/>
    <s v="SI"/>
    <s v=" HARDWARE "/>
    <x v="5"/>
    <x v="7"/>
    <m/>
    <s v="Navarra, Comunidad Floral de "/>
    <s v="Navarra"/>
    <s v="NAVARRA IMPULSA CULTURA, DEPORTE Y OCIO, S.L."/>
    <x v="31"/>
    <s v="EDUCACIÓN, CULTURA Y DEPORTES"/>
    <s v="Educación, Cultura y Deporte"/>
    <s v="Abierto"/>
    <n v="13"/>
    <m/>
    <n v="-8.0000000000000004E-4"/>
    <n v="15"/>
    <n v="35"/>
    <n v="50"/>
    <n v="100"/>
  </r>
  <r>
    <d v="2026-04-28T00:00:00"/>
    <d v="2026-04-28T00:00:00"/>
    <s v="Contrato mixto de suministro, adecuación de la sala y servicios de instalación, migración y mantenimiento del centro de proceso de datos del en el hospital universitario de fuenlabrada"/>
    <s v="PA SUM 25-030"/>
    <n v="1"/>
    <s v="48821000 - Servidores de red_x000a_50312310 - Mantenimiento de equipos de redes de datos_x000a_45259900 - Actualización de instalaciones"/>
    <n v="1032363.26"/>
    <s v="» HARDWARE » INFRAESTRUCTURA CPD » CPD"/>
    <s v="SI"/>
    <s v=" HARDWARE "/>
    <x v="7"/>
    <x v="11"/>
    <m/>
    <s v="Madrid, Comunidad de"/>
    <s v="Madrid"/>
    <s v="HOSPITAL UNIVERSITARIO DE FUENLABRADA"/>
    <x v="32"/>
    <s v="SANIDAD"/>
    <s v="Sanidad, Servicios Sociales e Igualdad"/>
    <s v="Abierto"/>
    <n v="60"/>
    <m/>
    <n v="-3.2199999999999999E-2"/>
    <n v="60"/>
    <n v="10"/>
    <n v="30"/>
    <n v="100"/>
  </r>
  <r>
    <d v="2026-04-30T00:00:00"/>
    <d v="2026-04-27T00:00:00"/>
    <s v="Cambio De Arquitectura, Mejoras De Seguridad En La Red Y Renovación Sistema Cctv De Sate2. Aeropuerto Adolfo Suárez Madrid-Barajas"/>
    <s v="DIN-402/2025"/>
    <n v="1"/>
    <s v="32235000 - Sistema de vigilancia en circuito cerrado"/>
    <n v="4996580"/>
    <s v="» HARDWARE » SEGURIDAD » SISTEMAS DE CONTROL"/>
    <s v="SI"/>
    <s v=" HARDWARE "/>
    <x v="2"/>
    <x v="2"/>
    <m/>
    <s v="Madrid, Comunidad de"/>
    <s v="Madrid"/>
    <s v="AENA-PRESIDENCIA"/>
    <x v="33"/>
    <s v="TRANSPORTE"/>
    <s v="Fomento"/>
    <s v="Abierto"/>
    <n v="18"/>
    <m/>
    <n v="-0.18090000000000001"/>
    <n v="100"/>
    <m/>
    <m/>
    <n v="100"/>
  </r>
  <r>
    <d v="2026-04-30T00:00:00"/>
    <d v="2026-04-29T00:00:00"/>
    <s v="Contrato de suministro, instalación, configuración y puesta en marcha de cámaras OCR de lectura de matrículas para los sistemas de peaje de las autopistas de SEITT."/>
    <s v="20251073-V"/>
    <n v="1"/>
    <s v="34927000 - Equipo para peajes_x000a_31642000 - Aparatos para detección electrónica"/>
    <n v="2027368.86"/>
    <s v="» HARDWARE » SEGURIDAD » SISTEMAS DE CONTROL"/>
    <s v="SI"/>
    <s v=" HARDWARE "/>
    <x v="2"/>
    <x v="2"/>
    <m/>
    <m/>
    <m/>
    <s v="SOCIEDAD ESTATAL DE INFRAESTRUCTURAS DEL TRANSPORTE TERRESTRE"/>
    <x v="13"/>
    <s v="TRANSPORTE"/>
    <s v="Fomento"/>
    <s v="Abierto"/>
    <n v="6"/>
    <m/>
    <n v="-0.28799999999999998"/>
    <n v="65"/>
    <n v="20"/>
    <n v="15"/>
    <n v="100"/>
  </r>
  <r>
    <d v="2026-04-30T00:00:00"/>
    <d v="2026-04-24T00:00:00"/>
    <s v="Implantación de la plataforma de destino del Principado de Asturias: hacia un turismo inteligente, innovador y sostenible en el ámbito del Plan de Recuperación, Transformación y Resiliencia financiado por la Unión Europea-NEXTGENERATION EU. Lote 1: Análisis, diseño e implantación técnica de la Plataforma Inteligente de Destino del Principado de Asturias"/>
    <s v="2025000845_lote1"/>
    <n v="1"/>
    <s v="72200000 - Servicios de programación de software y de consultoría_x000a_72224000 - Servicios de consultoría en gestión de proyectos"/>
    <n v="1949001.63"/>
    <s v="» HARDWARE » TELECOMUNICACIONES » INTERNET DE LAS COSAS (IOT)"/>
    <s v="SI"/>
    <s v=" HARDWARE "/>
    <x v="0"/>
    <x v="13"/>
    <m/>
    <s v="Asturias, Principado de"/>
    <m/>
    <s v="CONSEJERÍA DE PRESIDENCIA, RETO DEMOGRÁFICO, IGUALDAD Y TURISMO DEL PRINCIPADO DE ASTURIAS"/>
    <x v="34"/>
    <s v="EDUCACIÓN, CULTURA Y DEPORTES"/>
    <s v="Presidencia"/>
    <s v="Abierto"/>
    <n v="33"/>
    <m/>
    <n v="-0.25750000000000001"/>
    <n v="26"/>
    <n v="25"/>
    <n v="49"/>
    <n v="100"/>
  </r>
  <r>
    <d v="2026-04-30T00:00:00"/>
    <d v="2026-04-15T00:00:00"/>
    <s v="Suministro, de equipos multifuncion de copiado, impresión y escaneado para la Consejeria de Agricultura, Ganadería y Desarrollo Sostenible"/>
    <s v="PSU/2025/0000054943"/>
    <n v="1"/>
    <s v="30120000 - Fotocopiadoras, máquinas offset e impresoras"/>
    <n v="969919.36"/>
    <s v="» HARDWARE » MICROINFORMáTICA » IMPRESORAS/MULTIFUNCIONALES/SCANNER"/>
    <s v="SI"/>
    <s v=" HARDWARE "/>
    <x v="3"/>
    <x v="10"/>
    <m/>
    <s v="Extremadura"/>
    <m/>
    <s v="CONSEJERÍA DE AGRICULTURA, GANADERÍA Y DESARROLLO SOSTENIBLE DE LA JUNTA DE EXTREMADURA"/>
    <x v="35"/>
    <s v="ECONOMÍA Y HACIENDA"/>
    <s v="Agricultura, Alimentación y Medio Ambiente"/>
    <s v="Abierto"/>
    <n v="48"/>
    <m/>
    <n v="-0.46600000000000003"/>
    <n v="70"/>
    <n v="30"/>
    <m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55417-738D-444A-AB08-F922E5C82F0E}" name="TablaDinámica131" cacheId="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53" firstHeaderRow="0" firstDataRow="1" firstDataCol="3"/>
  <pivotFields count="27"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>
      <items count="9">
        <item x="1"/>
        <item x="5"/>
        <item x="4"/>
        <item x="3"/>
        <item x="2"/>
        <item x="6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4">
        <item x="1"/>
        <item x="6"/>
        <item x="0"/>
        <item x="4"/>
        <item x="8"/>
        <item x="3"/>
        <item x="5"/>
        <item x="9"/>
        <item x="7"/>
        <item x="2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36">
        <item x="5"/>
        <item x="15"/>
        <item x="7"/>
        <item x="19"/>
        <item x="4"/>
        <item x="13"/>
        <item x="12"/>
        <item x="6"/>
        <item x="10"/>
        <item x="21"/>
        <item x="16"/>
        <item x="2"/>
        <item x="22"/>
        <item x="14"/>
        <item x="20"/>
        <item x="18"/>
        <item x="3"/>
        <item x="8"/>
        <item x="11"/>
        <item x="17"/>
        <item x="1"/>
        <item x="0"/>
        <item x="9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6"/>
  </rowFields>
  <rowItems count="50">
    <i>
      <x v="3"/>
      <x v="1"/>
      <x v="19"/>
    </i>
    <i r="2">
      <x v="9"/>
    </i>
    <i r="2">
      <x v="12"/>
    </i>
    <i r="2">
      <x v="3"/>
    </i>
    <i r="2">
      <x v="8"/>
    </i>
    <i r="1">
      <x v="4"/>
      <x v="30"/>
    </i>
    <i r="2">
      <x v="1"/>
    </i>
    <i r="2">
      <x v="25"/>
    </i>
    <i r="1">
      <x v="5"/>
      <x v="27"/>
    </i>
    <i r="2">
      <x v="16"/>
    </i>
    <i r="1">
      <x v="10"/>
      <x v="23"/>
    </i>
    <i r="2">
      <x v="35"/>
    </i>
    <i t="default">
      <x v="3"/>
    </i>
    <i>
      <x v="4"/>
      <x v="9"/>
      <x v="33"/>
    </i>
    <i r="2">
      <x v="7"/>
    </i>
    <i r="2">
      <x v="5"/>
    </i>
    <i r="2">
      <x v="26"/>
    </i>
    <i r="2">
      <x v="11"/>
    </i>
    <i r="2">
      <x v="22"/>
    </i>
    <i r="2">
      <x v="10"/>
    </i>
    <i r="2">
      <x v="24"/>
    </i>
    <i r="2">
      <x v="13"/>
    </i>
    <i r="2">
      <x/>
    </i>
    <i t="default">
      <x v="4"/>
    </i>
    <i>
      <x v="6"/>
      <x v="2"/>
      <x v="21"/>
    </i>
    <i r="2">
      <x v="2"/>
    </i>
    <i r="1">
      <x v="12"/>
      <x v="29"/>
    </i>
    <i r="1">
      <x v="13"/>
      <x v="34"/>
    </i>
    <i t="default">
      <x v="6"/>
    </i>
    <i>
      <x/>
      <x/>
      <x v="20"/>
    </i>
    <i r="2">
      <x v="28"/>
    </i>
    <i r="2">
      <x v="18"/>
    </i>
    <i r="2">
      <x v="4"/>
    </i>
    <i r="2">
      <x v="6"/>
    </i>
    <i t="default">
      <x/>
    </i>
    <i>
      <x v="1"/>
      <x v="8"/>
      <x v="31"/>
    </i>
    <i r="2">
      <x v="21"/>
    </i>
    <i r="2">
      <x v="14"/>
    </i>
    <i r="2">
      <x v="15"/>
    </i>
    <i t="default">
      <x v="1"/>
    </i>
    <i>
      <x v="5"/>
      <x v="7"/>
      <x v="20"/>
    </i>
    <i r="2">
      <x v="19"/>
    </i>
    <i t="default">
      <x v="5"/>
    </i>
    <i>
      <x v="2"/>
      <x v="6"/>
      <x v="17"/>
    </i>
    <i r="1">
      <x v="3"/>
      <x v="21"/>
    </i>
    <i t="default">
      <x v="2"/>
    </i>
    <i>
      <x v="7"/>
      <x v="11"/>
      <x v="20"/>
    </i>
    <i r="2">
      <x v="32"/>
    </i>
    <i t="default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Título" fld="2" subtotal="count" baseField="0" baseItem="0"/>
    <dataField name="Suma de Importe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D343-C256-4583-A237-DCFDBEAAA5DC}">
  <dimension ref="A1:E54"/>
  <sheetViews>
    <sheetView topLeftCell="A18" zoomScale="90" zoomScaleNormal="90" workbookViewId="0">
      <selection activeCell="D39" sqref="D39"/>
    </sheetView>
  </sheetViews>
  <sheetFormatPr baseColWidth="10" defaultRowHeight="14.5" x14ac:dyDescent="0.35"/>
  <cols>
    <col min="1" max="1" width="60.6328125" customWidth="1"/>
    <col min="2" max="2" width="10.453125" bestFit="1" customWidth="1"/>
    <col min="3" max="3" width="23.1796875" bestFit="1" customWidth="1"/>
    <col min="4" max="4" width="41.54296875" customWidth="1"/>
    <col min="5" max="5" width="18.6328125" bestFit="1" customWidth="1"/>
  </cols>
  <sheetData>
    <row r="1" spans="1:5" ht="18.5" x14ac:dyDescent="0.45">
      <c r="A1" s="30" t="s">
        <v>315</v>
      </c>
      <c r="B1" s="30"/>
      <c r="C1" s="30"/>
      <c r="D1" s="30"/>
      <c r="E1" s="30"/>
    </row>
    <row r="3" spans="1:5" x14ac:dyDescent="0.35">
      <c r="A3" s="14" t="s">
        <v>4</v>
      </c>
      <c r="B3" s="14" t="s">
        <v>64</v>
      </c>
      <c r="C3" s="20" t="s">
        <v>65</v>
      </c>
      <c r="D3" s="14" t="s">
        <v>66</v>
      </c>
      <c r="E3" s="15" t="s">
        <v>309</v>
      </c>
    </row>
    <row r="4" spans="1:5" x14ac:dyDescent="0.35">
      <c r="A4" t="s">
        <v>212</v>
      </c>
      <c r="B4" t="s">
        <v>313</v>
      </c>
      <c r="C4" s="19" t="s">
        <v>68</v>
      </c>
      <c r="D4" s="17" t="s">
        <v>95</v>
      </c>
      <c r="E4" s="16" t="s">
        <v>310</v>
      </c>
    </row>
    <row r="5" spans="1:5" x14ac:dyDescent="0.35">
      <c r="A5" t="s">
        <v>228</v>
      </c>
      <c r="B5" t="s">
        <v>313</v>
      </c>
      <c r="C5" s="19" t="s">
        <v>68</v>
      </c>
      <c r="D5" s="18" t="s">
        <v>114</v>
      </c>
      <c r="E5" s="16" t="s">
        <v>311</v>
      </c>
    </row>
    <row r="6" spans="1:5" x14ac:dyDescent="0.35">
      <c r="A6" t="s">
        <v>249</v>
      </c>
      <c r="B6" t="s">
        <v>313</v>
      </c>
      <c r="C6" s="19" t="s">
        <v>68</v>
      </c>
      <c r="D6" s="18" t="s">
        <v>140</v>
      </c>
      <c r="E6" s="16" t="s">
        <v>312</v>
      </c>
    </row>
    <row r="7" spans="1:5" x14ac:dyDescent="0.35">
      <c r="A7" t="s">
        <v>259</v>
      </c>
      <c r="B7" t="s">
        <v>313</v>
      </c>
      <c r="C7" s="19" t="s">
        <v>68</v>
      </c>
      <c r="D7" s="18" t="s">
        <v>152</v>
      </c>
      <c r="E7" s="16" t="s">
        <v>312</v>
      </c>
    </row>
    <row r="8" spans="1:5" x14ac:dyDescent="0.35">
      <c r="A8" t="s">
        <v>258</v>
      </c>
      <c r="B8" t="s">
        <v>313</v>
      </c>
      <c r="C8" s="19" t="s">
        <v>68</v>
      </c>
      <c r="D8" s="18" t="s">
        <v>151</v>
      </c>
      <c r="E8" s="16" t="s">
        <v>310</v>
      </c>
    </row>
    <row r="9" spans="1:5" x14ac:dyDescent="0.35">
      <c r="A9" t="s">
        <v>225</v>
      </c>
      <c r="B9" t="s">
        <v>313</v>
      </c>
      <c r="C9" s="21" t="s">
        <v>73</v>
      </c>
      <c r="D9" s="18" t="s">
        <v>111</v>
      </c>
      <c r="E9" s="16" t="s">
        <v>311</v>
      </c>
    </row>
    <row r="10" spans="1:5" x14ac:dyDescent="0.35">
      <c r="A10" t="s">
        <v>203</v>
      </c>
      <c r="B10" t="s">
        <v>313</v>
      </c>
      <c r="C10" s="21" t="s">
        <v>73</v>
      </c>
      <c r="D10" s="18" t="s">
        <v>79</v>
      </c>
      <c r="E10" s="16" t="s">
        <v>311</v>
      </c>
    </row>
    <row r="11" spans="1:5" x14ac:dyDescent="0.35">
      <c r="A11" t="s">
        <v>200</v>
      </c>
      <c r="B11" t="s">
        <v>313</v>
      </c>
      <c r="C11" s="21" t="s">
        <v>73</v>
      </c>
      <c r="D11" s="18" t="s">
        <v>74</v>
      </c>
      <c r="E11" s="16" t="s">
        <v>311</v>
      </c>
    </row>
    <row r="12" spans="1:5" x14ac:dyDescent="0.35">
      <c r="A12" t="s">
        <v>278</v>
      </c>
      <c r="B12" t="s">
        <v>313</v>
      </c>
      <c r="C12" s="21" t="s">
        <v>73</v>
      </c>
      <c r="D12" s="18" t="s">
        <v>173</v>
      </c>
      <c r="E12" s="16" t="s">
        <v>311</v>
      </c>
    </row>
    <row r="13" spans="1:5" x14ac:dyDescent="0.35">
      <c r="A13" t="s">
        <v>207</v>
      </c>
      <c r="B13" t="s">
        <v>313</v>
      </c>
      <c r="C13" s="21" t="s">
        <v>86</v>
      </c>
      <c r="D13" s="18" t="s">
        <v>87</v>
      </c>
      <c r="E13" s="16" t="s">
        <v>312</v>
      </c>
    </row>
    <row r="14" spans="1:5" x14ac:dyDescent="0.35">
      <c r="A14" t="s">
        <v>257</v>
      </c>
      <c r="B14" t="s">
        <v>313</v>
      </c>
      <c r="C14" s="21" t="s">
        <v>86</v>
      </c>
      <c r="D14" s="18" t="s">
        <v>150</v>
      </c>
      <c r="E14" s="16" t="s">
        <v>312</v>
      </c>
    </row>
    <row r="15" spans="1:5" x14ac:dyDescent="0.35">
      <c r="A15" t="s">
        <v>263</v>
      </c>
      <c r="B15" t="s">
        <v>313</v>
      </c>
      <c r="C15" s="21" t="s">
        <v>86</v>
      </c>
      <c r="D15" s="18" t="s">
        <v>156</v>
      </c>
      <c r="E15" s="16" t="s">
        <v>312</v>
      </c>
    </row>
    <row r="16" spans="1:5" x14ac:dyDescent="0.35">
      <c r="A16" t="s">
        <v>272</v>
      </c>
      <c r="B16" t="s">
        <v>313</v>
      </c>
      <c r="C16" s="21" t="s">
        <v>86</v>
      </c>
      <c r="D16" s="18" t="s">
        <v>166</v>
      </c>
      <c r="E16" s="16" t="s">
        <v>312</v>
      </c>
    </row>
    <row r="17" spans="1:5" x14ac:dyDescent="0.35">
      <c r="A17" t="s">
        <v>222</v>
      </c>
      <c r="B17" t="s">
        <v>313</v>
      </c>
      <c r="C17" s="21" t="s">
        <v>70</v>
      </c>
      <c r="D17" s="18" t="s">
        <v>108</v>
      </c>
      <c r="E17" s="16" t="s">
        <v>312</v>
      </c>
    </row>
    <row r="18" spans="1:5" x14ac:dyDescent="0.35">
      <c r="A18" t="s">
        <v>198</v>
      </c>
      <c r="B18" t="s">
        <v>313</v>
      </c>
      <c r="C18" s="21" t="s">
        <v>70</v>
      </c>
      <c r="D18" s="18" t="s">
        <v>71</v>
      </c>
      <c r="E18" s="16" t="s">
        <v>312</v>
      </c>
    </row>
    <row r="19" spans="1:5" x14ac:dyDescent="0.35">
      <c r="A19" t="s">
        <v>227</v>
      </c>
      <c r="B19" t="s">
        <v>313</v>
      </c>
      <c r="C19" s="21" t="s">
        <v>70</v>
      </c>
      <c r="D19" s="18" t="s">
        <v>113</v>
      </c>
      <c r="E19" s="16" t="s">
        <v>312</v>
      </c>
    </row>
    <row r="20" spans="1:5" x14ac:dyDescent="0.35">
      <c r="A20" t="s">
        <v>293</v>
      </c>
      <c r="B20" t="s">
        <v>313</v>
      </c>
      <c r="C20" s="21" t="s">
        <v>70</v>
      </c>
      <c r="D20" s="18" t="s">
        <v>190</v>
      </c>
      <c r="E20" s="16" t="s">
        <v>311</v>
      </c>
    </row>
    <row r="23" spans="1:5" x14ac:dyDescent="0.35">
      <c r="A23" s="14" t="s">
        <v>4</v>
      </c>
      <c r="B23" s="14" t="s">
        <v>64</v>
      </c>
      <c r="C23" s="14" t="s">
        <v>65</v>
      </c>
      <c r="D23" s="14" t="s">
        <v>66</v>
      </c>
    </row>
    <row r="24" spans="1:5" x14ac:dyDescent="0.35">
      <c r="A24" t="s">
        <v>213</v>
      </c>
      <c r="B24" t="s">
        <v>314</v>
      </c>
      <c r="C24" s="19" t="s">
        <v>96</v>
      </c>
      <c r="D24" s="18" t="s">
        <v>97</v>
      </c>
    </row>
    <row r="25" spans="1:5" x14ac:dyDescent="0.35">
      <c r="A25" t="s">
        <v>241</v>
      </c>
      <c r="B25" t="s">
        <v>314</v>
      </c>
      <c r="C25" s="19" t="s">
        <v>96</v>
      </c>
      <c r="D25" s="18" t="s">
        <v>132</v>
      </c>
    </row>
    <row r="26" spans="1:5" x14ac:dyDescent="0.35">
      <c r="A26" t="s">
        <v>235</v>
      </c>
      <c r="B26" t="s">
        <v>314</v>
      </c>
      <c r="C26" s="19" t="s">
        <v>96</v>
      </c>
      <c r="D26" s="18" t="s">
        <v>124</v>
      </c>
    </row>
    <row r="27" spans="1:5" x14ac:dyDescent="0.35">
      <c r="A27" t="s">
        <v>286</v>
      </c>
      <c r="B27" t="s">
        <v>314</v>
      </c>
      <c r="C27" s="19" t="s">
        <v>96</v>
      </c>
      <c r="D27" s="18" t="s">
        <v>182</v>
      </c>
    </row>
    <row r="28" spans="1:5" x14ac:dyDescent="0.35">
      <c r="A28" t="s">
        <v>230</v>
      </c>
      <c r="B28" t="s">
        <v>314</v>
      </c>
      <c r="C28" s="19" t="s">
        <v>116</v>
      </c>
      <c r="D28" s="18" t="s">
        <v>117</v>
      </c>
    </row>
    <row r="29" spans="1:5" x14ac:dyDescent="0.35">
      <c r="A29" t="s">
        <v>277</v>
      </c>
      <c r="B29" t="s">
        <v>314</v>
      </c>
      <c r="C29" s="19" t="s">
        <v>116</v>
      </c>
      <c r="D29" s="18" t="s">
        <v>172</v>
      </c>
    </row>
    <row r="30" spans="1:5" x14ac:dyDescent="0.35">
      <c r="A30" t="s">
        <v>273</v>
      </c>
      <c r="B30" t="s">
        <v>314</v>
      </c>
      <c r="C30" s="19" t="s">
        <v>116</v>
      </c>
      <c r="D30" s="18" t="s">
        <v>167</v>
      </c>
    </row>
    <row r="31" spans="1:5" x14ac:dyDescent="0.35">
      <c r="A31" t="s">
        <v>233</v>
      </c>
      <c r="B31" t="s">
        <v>314</v>
      </c>
      <c r="C31" s="19" t="s">
        <v>116</v>
      </c>
      <c r="D31" s="18" t="s">
        <v>121</v>
      </c>
    </row>
    <row r="32" spans="1:5" x14ac:dyDescent="0.35">
      <c r="A32" t="s">
        <v>219</v>
      </c>
      <c r="B32" t="s">
        <v>314</v>
      </c>
      <c r="C32" s="19" t="s">
        <v>82</v>
      </c>
      <c r="D32" s="18" t="s">
        <v>105</v>
      </c>
    </row>
    <row r="33" spans="1:4" x14ac:dyDescent="0.35">
      <c r="A33" t="s">
        <v>205</v>
      </c>
      <c r="B33" t="s">
        <v>314</v>
      </c>
      <c r="C33" s="19" t="s">
        <v>82</v>
      </c>
      <c r="D33" s="18" t="s">
        <v>83</v>
      </c>
    </row>
    <row r="34" spans="1:4" x14ac:dyDescent="0.35">
      <c r="A34" t="s">
        <v>211</v>
      </c>
      <c r="B34" t="s">
        <v>314</v>
      </c>
      <c r="C34" s="19" t="s">
        <v>82</v>
      </c>
      <c r="D34" s="18" t="s">
        <v>94</v>
      </c>
    </row>
    <row r="35" spans="1:4" x14ac:dyDescent="0.35">
      <c r="A35" t="s">
        <v>237</v>
      </c>
      <c r="B35" t="s">
        <v>314</v>
      </c>
      <c r="C35" s="19" t="s">
        <v>82</v>
      </c>
      <c r="D35" s="18" t="s">
        <v>127</v>
      </c>
    </row>
    <row r="36" spans="1:4" x14ac:dyDescent="0.35">
      <c r="A36" t="s">
        <v>221</v>
      </c>
      <c r="B36" t="s">
        <v>314</v>
      </c>
      <c r="C36" s="19" t="s">
        <v>82</v>
      </c>
      <c r="D36" s="18" t="s">
        <v>107</v>
      </c>
    </row>
    <row r="37" spans="1:4" x14ac:dyDescent="0.35">
      <c r="A37" t="s">
        <v>261</v>
      </c>
      <c r="B37" t="s">
        <v>314</v>
      </c>
      <c r="C37" s="19" t="s">
        <v>82</v>
      </c>
      <c r="D37" s="18" t="s">
        <v>154</v>
      </c>
    </row>
    <row r="38" spans="1:4" x14ac:dyDescent="0.35">
      <c r="A38" t="s">
        <v>267</v>
      </c>
      <c r="B38" t="s">
        <v>314</v>
      </c>
      <c r="C38" s="19" t="s">
        <v>82</v>
      </c>
      <c r="D38" s="18" t="s">
        <v>160</v>
      </c>
    </row>
    <row r="39" spans="1:4" x14ac:dyDescent="0.35">
      <c r="A39" t="s">
        <v>283</v>
      </c>
      <c r="B39" t="s">
        <v>314</v>
      </c>
      <c r="C39" s="19" t="s">
        <v>82</v>
      </c>
      <c r="D39" s="18" t="s">
        <v>179</v>
      </c>
    </row>
    <row r="40" spans="1:4" x14ac:dyDescent="0.35">
      <c r="A40" t="s">
        <v>240</v>
      </c>
      <c r="B40" t="s">
        <v>314</v>
      </c>
      <c r="C40" s="19" t="s">
        <v>130</v>
      </c>
      <c r="D40" s="18" t="s">
        <v>131</v>
      </c>
    </row>
    <row r="41" spans="1:4" x14ac:dyDescent="0.35">
      <c r="A41" t="s">
        <v>236</v>
      </c>
      <c r="B41" t="s">
        <v>314</v>
      </c>
      <c r="C41" s="19" t="s">
        <v>125</v>
      </c>
      <c r="D41" s="18" t="s">
        <v>126</v>
      </c>
    </row>
    <row r="42" spans="1:4" x14ac:dyDescent="0.35">
      <c r="A42" t="s">
        <v>262</v>
      </c>
      <c r="B42" t="s">
        <v>314</v>
      </c>
      <c r="C42" s="19" t="s">
        <v>125</v>
      </c>
      <c r="D42" s="18" t="s">
        <v>155</v>
      </c>
    </row>
    <row r="43" spans="1:4" x14ac:dyDescent="0.35">
      <c r="A43" t="s">
        <v>291</v>
      </c>
      <c r="B43" t="s">
        <v>314</v>
      </c>
      <c r="C43" s="19" t="s">
        <v>125</v>
      </c>
      <c r="D43" s="18" t="s">
        <v>188</v>
      </c>
    </row>
    <row r="44" spans="1:4" x14ac:dyDescent="0.35">
      <c r="A44" t="s">
        <v>243</v>
      </c>
      <c r="B44" t="s">
        <v>314</v>
      </c>
      <c r="C44" s="19" t="s">
        <v>125</v>
      </c>
      <c r="D44" s="18" t="s">
        <v>134</v>
      </c>
    </row>
    <row r="45" spans="1:4" x14ac:dyDescent="0.35">
      <c r="A45" t="s">
        <v>251</v>
      </c>
      <c r="B45" t="s">
        <v>314</v>
      </c>
      <c r="C45" s="19" t="s">
        <v>142</v>
      </c>
      <c r="D45" s="18" t="s">
        <v>143</v>
      </c>
    </row>
    <row r="46" spans="1:4" x14ac:dyDescent="0.35">
      <c r="A46" t="s">
        <v>284</v>
      </c>
      <c r="B46" t="s">
        <v>314</v>
      </c>
      <c r="C46" s="19" t="s">
        <v>142</v>
      </c>
      <c r="D46" s="18" t="s">
        <v>180</v>
      </c>
    </row>
    <row r="47" spans="1:4" x14ac:dyDescent="0.35">
      <c r="A47" t="s">
        <v>285</v>
      </c>
      <c r="B47" t="s">
        <v>314</v>
      </c>
      <c r="C47" s="19" t="s">
        <v>142</v>
      </c>
      <c r="D47" s="18" t="s">
        <v>181</v>
      </c>
    </row>
    <row r="48" spans="1:4" x14ac:dyDescent="0.35">
      <c r="A48" t="s">
        <v>266</v>
      </c>
      <c r="B48" t="s">
        <v>314</v>
      </c>
      <c r="C48" s="19" t="s">
        <v>90</v>
      </c>
      <c r="D48" s="18" t="s">
        <v>159</v>
      </c>
    </row>
    <row r="49" spans="1:4" x14ac:dyDescent="0.35">
      <c r="A49" t="s">
        <v>209</v>
      </c>
      <c r="B49" t="s">
        <v>314</v>
      </c>
      <c r="C49" s="19" t="s">
        <v>90</v>
      </c>
      <c r="D49" s="18" t="s">
        <v>91</v>
      </c>
    </row>
    <row r="50" spans="1:4" x14ac:dyDescent="0.35">
      <c r="A50" t="s">
        <v>254</v>
      </c>
      <c r="B50" t="s">
        <v>314</v>
      </c>
      <c r="C50" s="19" t="s">
        <v>90</v>
      </c>
      <c r="D50" s="18" t="s">
        <v>147</v>
      </c>
    </row>
    <row r="51" spans="1:4" x14ac:dyDescent="0.35">
      <c r="A51" t="s">
        <v>232</v>
      </c>
      <c r="B51" t="s">
        <v>314</v>
      </c>
      <c r="C51" s="19" t="s">
        <v>119</v>
      </c>
      <c r="D51" s="18" t="s">
        <v>120</v>
      </c>
    </row>
    <row r="52" spans="1:4" x14ac:dyDescent="0.35">
      <c r="A52" t="s">
        <v>265</v>
      </c>
      <c r="B52" t="s">
        <v>314</v>
      </c>
      <c r="C52" s="19" t="s">
        <v>119</v>
      </c>
      <c r="D52" s="18" t="s">
        <v>158</v>
      </c>
    </row>
    <row r="53" spans="1:4" x14ac:dyDescent="0.35">
      <c r="A53" t="s">
        <v>270</v>
      </c>
      <c r="B53" t="s">
        <v>314</v>
      </c>
      <c r="C53" s="19" t="s">
        <v>119</v>
      </c>
      <c r="D53" s="18" t="s">
        <v>164</v>
      </c>
    </row>
    <row r="54" spans="1:4" x14ac:dyDescent="0.35">
      <c r="A54" t="s">
        <v>295</v>
      </c>
      <c r="B54" t="s">
        <v>314</v>
      </c>
      <c r="C54" s="19" t="s">
        <v>183</v>
      </c>
      <c r="D54" s="18" t="s">
        <v>192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4E0B5-88CE-499D-A39E-219A7FCD6C6A}">
  <dimension ref="A3:E53"/>
  <sheetViews>
    <sheetView zoomScale="90" zoomScaleNormal="90" workbookViewId="0">
      <selection activeCell="E1" sqref="E1:E1048576"/>
    </sheetView>
  </sheetViews>
  <sheetFormatPr baseColWidth="10" defaultRowHeight="14.5" x14ac:dyDescent="0.35"/>
  <cols>
    <col min="1" max="1" width="27.54296875" style="29" bestFit="1" customWidth="1"/>
    <col min="2" max="2" width="43.08984375" style="29" bestFit="1" customWidth="1"/>
    <col min="3" max="3" width="74.08984375" style="29" bestFit="1" customWidth="1"/>
    <col min="4" max="4" width="14.453125" style="29" bestFit="1" customWidth="1"/>
    <col min="5" max="5" width="15" style="29" bestFit="1" customWidth="1"/>
  </cols>
  <sheetData>
    <row r="3" spans="1:5" x14ac:dyDescent="0.35">
      <c r="A3" s="28" t="s">
        <v>65</v>
      </c>
      <c r="B3" s="28" t="s">
        <v>66</v>
      </c>
      <c r="C3" s="28" t="s">
        <v>317</v>
      </c>
      <c r="D3" t="s">
        <v>464</v>
      </c>
      <c r="E3" s="29" t="s">
        <v>465</v>
      </c>
    </row>
    <row r="4" spans="1:5" x14ac:dyDescent="0.35">
      <c r="A4" t="s">
        <v>82</v>
      </c>
      <c r="B4" t="s">
        <v>127</v>
      </c>
      <c r="C4" t="s">
        <v>436</v>
      </c>
      <c r="D4">
        <v>1</v>
      </c>
      <c r="E4" s="29">
        <v>13905954.460000001</v>
      </c>
    </row>
    <row r="5" spans="1:5" x14ac:dyDescent="0.35">
      <c r="A5" t="s">
        <v>82</v>
      </c>
      <c r="B5" t="s">
        <v>127</v>
      </c>
      <c r="C5" t="s">
        <v>458</v>
      </c>
      <c r="D5">
        <v>1</v>
      </c>
      <c r="E5" s="29">
        <v>12173425.210000001</v>
      </c>
    </row>
    <row r="6" spans="1:5" x14ac:dyDescent="0.35">
      <c r="A6" t="s">
        <v>82</v>
      </c>
      <c r="B6" t="s">
        <v>127</v>
      </c>
      <c r="C6" t="s">
        <v>462</v>
      </c>
      <c r="D6">
        <v>1</v>
      </c>
      <c r="E6" s="29">
        <v>6525545.8799999999</v>
      </c>
    </row>
    <row r="7" spans="1:5" x14ac:dyDescent="0.35">
      <c r="A7" t="s">
        <v>82</v>
      </c>
      <c r="B7" t="s">
        <v>127</v>
      </c>
      <c r="C7" t="s">
        <v>446</v>
      </c>
      <c r="D7">
        <v>1</v>
      </c>
      <c r="E7" s="29">
        <v>2940929.46</v>
      </c>
    </row>
    <row r="8" spans="1:5" x14ac:dyDescent="0.35">
      <c r="A8" t="s">
        <v>82</v>
      </c>
      <c r="B8" t="s">
        <v>127</v>
      </c>
      <c r="C8" t="s">
        <v>395</v>
      </c>
      <c r="D8">
        <v>1</v>
      </c>
      <c r="E8" s="29">
        <v>1614990</v>
      </c>
    </row>
    <row r="9" spans="1:5" x14ac:dyDescent="0.35">
      <c r="A9" t="s">
        <v>82</v>
      </c>
      <c r="B9" t="s">
        <v>105</v>
      </c>
      <c r="C9" t="s">
        <v>518</v>
      </c>
      <c r="D9">
        <v>1</v>
      </c>
      <c r="E9" s="29">
        <v>6700000</v>
      </c>
    </row>
    <row r="10" spans="1:5" x14ac:dyDescent="0.35">
      <c r="A10" t="s">
        <v>82</v>
      </c>
      <c r="B10" t="s">
        <v>105</v>
      </c>
      <c r="C10" t="s">
        <v>426</v>
      </c>
      <c r="D10">
        <v>1</v>
      </c>
      <c r="E10" s="29">
        <v>4591903.96</v>
      </c>
    </row>
    <row r="11" spans="1:5" x14ac:dyDescent="0.35">
      <c r="A11" t="s">
        <v>82</v>
      </c>
      <c r="B11" t="s">
        <v>105</v>
      </c>
      <c r="C11" t="s">
        <v>487</v>
      </c>
      <c r="D11">
        <v>1</v>
      </c>
      <c r="E11" s="29">
        <v>1099987.53</v>
      </c>
    </row>
    <row r="12" spans="1:5" x14ac:dyDescent="0.35">
      <c r="A12" t="s">
        <v>82</v>
      </c>
      <c r="B12" t="s">
        <v>94</v>
      </c>
      <c r="C12" t="s">
        <v>498</v>
      </c>
      <c r="D12">
        <v>1</v>
      </c>
      <c r="E12" s="29">
        <v>1375876</v>
      </c>
    </row>
    <row r="13" spans="1:5" x14ac:dyDescent="0.35">
      <c r="A13" t="s">
        <v>82</v>
      </c>
      <c r="B13" t="s">
        <v>94</v>
      </c>
      <c r="C13" t="s">
        <v>349</v>
      </c>
      <c r="D13">
        <v>1</v>
      </c>
      <c r="E13" s="29">
        <v>1365340.85</v>
      </c>
    </row>
    <row r="14" spans="1:5" x14ac:dyDescent="0.35">
      <c r="A14" t="s">
        <v>82</v>
      </c>
      <c r="B14" t="s">
        <v>83</v>
      </c>
      <c r="C14" t="s">
        <v>477</v>
      </c>
      <c r="D14">
        <v>1</v>
      </c>
      <c r="E14" s="29">
        <v>1120600</v>
      </c>
    </row>
    <row r="15" spans="1:5" x14ac:dyDescent="0.35">
      <c r="A15" t="s">
        <v>82</v>
      </c>
      <c r="B15" t="s">
        <v>83</v>
      </c>
      <c r="C15" t="s">
        <v>548</v>
      </c>
      <c r="D15">
        <v>1</v>
      </c>
      <c r="E15" s="29">
        <v>969919.36</v>
      </c>
    </row>
    <row r="16" spans="1:5" x14ac:dyDescent="0.35">
      <c r="A16" t="s">
        <v>469</v>
      </c>
      <c r="B16"/>
      <c r="C16"/>
      <c r="D16">
        <v>12</v>
      </c>
      <c r="E16" s="29">
        <v>54384472.710000008</v>
      </c>
    </row>
    <row r="17" spans="1:5" x14ac:dyDescent="0.35">
      <c r="A17" t="s">
        <v>130</v>
      </c>
      <c r="B17" t="s">
        <v>131</v>
      </c>
      <c r="C17" t="s">
        <v>534</v>
      </c>
      <c r="D17">
        <v>1</v>
      </c>
      <c r="E17" s="29">
        <v>4996580</v>
      </c>
    </row>
    <row r="18" spans="1:5" x14ac:dyDescent="0.35">
      <c r="A18" t="s">
        <v>130</v>
      </c>
      <c r="B18" t="s">
        <v>131</v>
      </c>
      <c r="C18" t="s">
        <v>373</v>
      </c>
      <c r="D18">
        <v>1</v>
      </c>
      <c r="E18" s="29">
        <v>3285313.1</v>
      </c>
    </row>
    <row r="19" spans="1:5" x14ac:dyDescent="0.35">
      <c r="A19" t="s">
        <v>130</v>
      </c>
      <c r="B19" t="s">
        <v>131</v>
      </c>
      <c r="C19" t="s">
        <v>416</v>
      </c>
      <c r="D19">
        <v>2</v>
      </c>
      <c r="E19" s="29">
        <v>3158137.8600000003</v>
      </c>
    </row>
    <row r="20" spans="1:5" x14ac:dyDescent="0.35">
      <c r="A20" t="s">
        <v>130</v>
      </c>
      <c r="B20" t="s">
        <v>131</v>
      </c>
      <c r="C20" t="s">
        <v>493</v>
      </c>
      <c r="D20">
        <v>1</v>
      </c>
      <c r="E20" s="29">
        <v>2661539.7999999998</v>
      </c>
    </row>
    <row r="21" spans="1:5" x14ac:dyDescent="0.35">
      <c r="A21" t="s">
        <v>130</v>
      </c>
      <c r="B21" t="s">
        <v>131</v>
      </c>
      <c r="C21" t="s">
        <v>342</v>
      </c>
      <c r="D21">
        <v>1</v>
      </c>
      <c r="E21" s="29">
        <v>1998416</v>
      </c>
    </row>
    <row r="22" spans="1:5" x14ac:dyDescent="0.35">
      <c r="A22" t="s">
        <v>130</v>
      </c>
      <c r="B22" t="s">
        <v>131</v>
      </c>
      <c r="C22" t="s">
        <v>388</v>
      </c>
      <c r="D22">
        <v>1</v>
      </c>
      <c r="E22" s="29">
        <v>1619834.71</v>
      </c>
    </row>
    <row r="23" spans="1:5" x14ac:dyDescent="0.35">
      <c r="A23" t="s">
        <v>130</v>
      </c>
      <c r="B23" t="s">
        <v>131</v>
      </c>
      <c r="C23" t="s">
        <v>432</v>
      </c>
      <c r="D23">
        <v>1</v>
      </c>
      <c r="E23" s="29">
        <v>1136567.92</v>
      </c>
    </row>
    <row r="24" spans="1:5" x14ac:dyDescent="0.35">
      <c r="A24" t="s">
        <v>130</v>
      </c>
      <c r="B24" t="s">
        <v>131</v>
      </c>
      <c r="C24" t="s">
        <v>482</v>
      </c>
      <c r="D24">
        <v>1</v>
      </c>
      <c r="E24" s="29">
        <v>1089146.54</v>
      </c>
    </row>
    <row r="25" spans="1:5" x14ac:dyDescent="0.35">
      <c r="A25" t="s">
        <v>130</v>
      </c>
      <c r="B25" t="s">
        <v>131</v>
      </c>
      <c r="C25" t="s">
        <v>421</v>
      </c>
      <c r="D25">
        <v>1</v>
      </c>
      <c r="E25" s="29">
        <v>1055339</v>
      </c>
    </row>
    <row r="26" spans="1:5" x14ac:dyDescent="0.35">
      <c r="A26" t="s">
        <v>130</v>
      </c>
      <c r="B26" t="s">
        <v>131</v>
      </c>
      <c r="C26" t="s">
        <v>362</v>
      </c>
      <c r="D26">
        <v>1</v>
      </c>
      <c r="E26" s="29">
        <v>1041579.8</v>
      </c>
    </row>
    <row r="27" spans="1:5" x14ac:dyDescent="0.35">
      <c r="A27" t="s">
        <v>470</v>
      </c>
      <c r="B27"/>
      <c r="C27"/>
      <c r="D27">
        <v>11</v>
      </c>
      <c r="E27" s="29">
        <v>22042454.73</v>
      </c>
    </row>
    <row r="28" spans="1:5" x14ac:dyDescent="0.35">
      <c r="A28" t="s">
        <v>96</v>
      </c>
      <c r="B28" t="s">
        <v>97</v>
      </c>
      <c r="C28" t="s">
        <v>328</v>
      </c>
      <c r="D28">
        <v>2</v>
      </c>
      <c r="E28" s="29">
        <v>5863292.8700000001</v>
      </c>
    </row>
    <row r="29" spans="1:5" x14ac:dyDescent="0.35">
      <c r="A29" t="s">
        <v>96</v>
      </c>
      <c r="B29" t="s">
        <v>97</v>
      </c>
      <c r="C29" t="s">
        <v>379</v>
      </c>
      <c r="D29">
        <v>1</v>
      </c>
      <c r="E29" s="29">
        <v>2697930</v>
      </c>
    </row>
    <row r="30" spans="1:5" x14ac:dyDescent="0.35">
      <c r="A30" t="s">
        <v>96</v>
      </c>
      <c r="B30" t="s">
        <v>182</v>
      </c>
      <c r="C30" t="s">
        <v>514</v>
      </c>
      <c r="D30">
        <v>1</v>
      </c>
      <c r="E30" s="29">
        <v>2234513.64</v>
      </c>
    </row>
    <row r="31" spans="1:5" x14ac:dyDescent="0.35">
      <c r="A31" t="s">
        <v>96</v>
      </c>
      <c r="B31" t="s">
        <v>132</v>
      </c>
      <c r="C31" t="s">
        <v>543</v>
      </c>
      <c r="D31">
        <v>1</v>
      </c>
      <c r="E31" s="29">
        <v>1949001.63</v>
      </c>
    </row>
    <row r="32" spans="1:5" x14ac:dyDescent="0.35">
      <c r="A32" t="s">
        <v>472</v>
      </c>
      <c r="B32"/>
      <c r="C32"/>
      <c r="D32">
        <v>5</v>
      </c>
      <c r="E32" s="29">
        <v>12744738.140000001</v>
      </c>
    </row>
    <row r="33" spans="1:5" x14ac:dyDescent="0.35">
      <c r="A33" t="s">
        <v>90</v>
      </c>
      <c r="B33" t="s">
        <v>159</v>
      </c>
      <c r="C33" t="s">
        <v>334</v>
      </c>
      <c r="D33">
        <v>1</v>
      </c>
      <c r="E33" s="29">
        <v>2525951.25</v>
      </c>
    </row>
    <row r="34" spans="1:5" x14ac:dyDescent="0.35">
      <c r="A34" t="s">
        <v>90</v>
      </c>
      <c r="B34" t="s">
        <v>159</v>
      </c>
      <c r="C34" t="s">
        <v>507</v>
      </c>
      <c r="D34">
        <v>1</v>
      </c>
      <c r="E34" s="29">
        <v>2153762.23</v>
      </c>
    </row>
    <row r="35" spans="1:5" x14ac:dyDescent="0.35">
      <c r="A35" t="s">
        <v>90</v>
      </c>
      <c r="B35" t="s">
        <v>159</v>
      </c>
      <c r="C35" t="s">
        <v>404</v>
      </c>
      <c r="D35">
        <v>1</v>
      </c>
      <c r="E35" s="29">
        <v>2140740.9</v>
      </c>
    </row>
    <row r="36" spans="1:5" x14ac:dyDescent="0.35">
      <c r="A36" t="s">
        <v>90</v>
      </c>
      <c r="B36" t="s">
        <v>159</v>
      </c>
      <c r="C36" t="s">
        <v>355</v>
      </c>
      <c r="D36">
        <v>1</v>
      </c>
      <c r="E36" s="29">
        <v>1159000</v>
      </c>
    </row>
    <row r="37" spans="1:5" x14ac:dyDescent="0.35">
      <c r="A37" t="s">
        <v>90</v>
      </c>
      <c r="B37" t="s">
        <v>159</v>
      </c>
      <c r="C37" t="s">
        <v>409</v>
      </c>
      <c r="D37">
        <v>1</v>
      </c>
      <c r="E37" s="29">
        <v>1157407</v>
      </c>
    </row>
    <row r="38" spans="1:5" x14ac:dyDescent="0.35">
      <c r="A38" t="s">
        <v>466</v>
      </c>
      <c r="B38"/>
      <c r="C38"/>
      <c r="D38">
        <v>5</v>
      </c>
      <c r="E38" s="29">
        <v>9136861.3800000008</v>
      </c>
    </row>
    <row r="39" spans="1:5" x14ac:dyDescent="0.35">
      <c r="A39" t="s">
        <v>116</v>
      </c>
      <c r="B39" t="s">
        <v>117</v>
      </c>
      <c r="C39" t="s">
        <v>524</v>
      </c>
      <c r="D39">
        <v>1</v>
      </c>
      <c r="E39" s="29">
        <v>2478000</v>
      </c>
    </row>
    <row r="40" spans="1:5" x14ac:dyDescent="0.35">
      <c r="A40" t="s">
        <v>116</v>
      </c>
      <c r="B40" t="s">
        <v>117</v>
      </c>
      <c r="C40" t="s">
        <v>328</v>
      </c>
      <c r="D40">
        <v>1</v>
      </c>
      <c r="E40" s="29">
        <v>2355194.7000000002</v>
      </c>
    </row>
    <row r="41" spans="1:5" x14ac:dyDescent="0.35">
      <c r="A41" t="s">
        <v>116</v>
      </c>
      <c r="B41" t="s">
        <v>117</v>
      </c>
      <c r="C41" t="s">
        <v>452</v>
      </c>
      <c r="D41">
        <v>1</v>
      </c>
      <c r="E41" s="29">
        <v>1511626.9</v>
      </c>
    </row>
    <row r="42" spans="1:5" x14ac:dyDescent="0.35">
      <c r="A42" t="s">
        <v>116</v>
      </c>
      <c r="B42" t="s">
        <v>117</v>
      </c>
      <c r="C42" t="s">
        <v>441</v>
      </c>
      <c r="D42">
        <v>1</v>
      </c>
      <c r="E42" s="29">
        <v>1165754</v>
      </c>
    </row>
    <row r="43" spans="1:5" x14ac:dyDescent="0.35">
      <c r="A43" t="s">
        <v>467</v>
      </c>
      <c r="B43"/>
      <c r="C43"/>
      <c r="D43">
        <v>4</v>
      </c>
      <c r="E43" s="29">
        <v>7510575.5999999996</v>
      </c>
    </row>
    <row r="44" spans="1:5" x14ac:dyDescent="0.35">
      <c r="A44" t="s">
        <v>125</v>
      </c>
      <c r="B44" t="s">
        <v>126</v>
      </c>
      <c r="C44" t="s">
        <v>334</v>
      </c>
      <c r="D44">
        <v>1</v>
      </c>
      <c r="E44" s="29">
        <v>1922677.85</v>
      </c>
    </row>
    <row r="45" spans="1:5" x14ac:dyDescent="0.35">
      <c r="A45" t="s">
        <v>125</v>
      </c>
      <c r="B45" t="s">
        <v>126</v>
      </c>
      <c r="C45" t="s">
        <v>436</v>
      </c>
      <c r="D45">
        <v>1</v>
      </c>
      <c r="E45" s="29">
        <v>1015564.28</v>
      </c>
    </row>
    <row r="46" spans="1:5" x14ac:dyDescent="0.35">
      <c r="A46" t="s">
        <v>471</v>
      </c>
      <c r="B46"/>
      <c r="C46"/>
      <c r="D46">
        <v>2</v>
      </c>
      <c r="E46" s="29">
        <v>2938242.13</v>
      </c>
    </row>
    <row r="47" spans="1:5" x14ac:dyDescent="0.35">
      <c r="A47" t="s">
        <v>119</v>
      </c>
      <c r="B47" t="s">
        <v>158</v>
      </c>
      <c r="C47" t="s">
        <v>384</v>
      </c>
      <c r="D47">
        <v>1</v>
      </c>
      <c r="E47" s="29">
        <v>1630643.79</v>
      </c>
    </row>
    <row r="48" spans="1:5" x14ac:dyDescent="0.35">
      <c r="A48" t="s">
        <v>119</v>
      </c>
      <c r="B48" t="s">
        <v>120</v>
      </c>
      <c r="C48" t="s">
        <v>328</v>
      </c>
      <c r="D48">
        <v>1</v>
      </c>
      <c r="E48" s="29">
        <v>1030186.11</v>
      </c>
    </row>
    <row r="49" spans="1:5" x14ac:dyDescent="0.35">
      <c r="A49" t="s">
        <v>468</v>
      </c>
      <c r="B49"/>
      <c r="C49"/>
      <c r="D49">
        <v>2</v>
      </c>
      <c r="E49" s="29">
        <v>2660829.9</v>
      </c>
    </row>
    <row r="50" spans="1:5" x14ac:dyDescent="0.35">
      <c r="A50" t="s">
        <v>142</v>
      </c>
      <c r="B50" t="s">
        <v>143</v>
      </c>
      <c r="C50" t="s">
        <v>334</v>
      </c>
      <c r="D50">
        <v>1</v>
      </c>
      <c r="E50" s="29">
        <v>1483740.32</v>
      </c>
    </row>
    <row r="51" spans="1:5" x14ac:dyDescent="0.35">
      <c r="A51" t="s">
        <v>142</v>
      </c>
      <c r="B51" t="s">
        <v>143</v>
      </c>
      <c r="C51" t="s">
        <v>529</v>
      </c>
      <c r="D51">
        <v>1</v>
      </c>
      <c r="E51" s="29">
        <v>1032363.26</v>
      </c>
    </row>
    <row r="52" spans="1:5" x14ac:dyDescent="0.35">
      <c r="A52" t="s">
        <v>550</v>
      </c>
      <c r="B52"/>
      <c r="C52"/>
      <c r="D52">
        <v>2</v>
      </c>
      <c r="E52" s="29">
        <v>2516103.58</v>
      </c>
    </row>
    <row r="53" spans="1:5" x14ac:dyDescent="0.35">
      <c r="A53" t="s">
        <v>463</v>
      </c>
      <c r="B53"/>
      <c r="C53"/>
      <c r="D53">
        <v>43</v>
      </c>
      <c r="E53" s="29">
        <v>113934278.16999997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FC59C-71F3-446E-9690-04D61CA97BC4}">
  <dimension ref="A1:AA50"/>
  <sheetViews>
    <sheetView tabSelected="1" zoomScale="90" zoomScaleNormal="90" workbookViewId="0">
      <pane ySplit="1" topLeftCell="A44" activePane="bottomLeft" state="frozen"/>
      <selection activeCell="B1" sqref="B1"/>
      <selection pane="bottomLeft" activeCell="A50" sqref="A50:XFD50"/>
    </sheetView>
  </sheetViews>
  <sheetFormatPr baseColWidth="10" defaultRowHeight="14.5" x14ac:dyDescent="0.35"/>
  <cols>
    <col min="1" max="1" width="20.7265625" style="5" bestFit="1" customWidth="1"/>
    <col min="2" max="2" width="19.6328125" style="5" bestFit="1" customWidth="1"/>
    <col min="3" max="3" width="58.453125" style="7" customWidth="1"/>
    <col min="4" max="4" width="31.90625" style="11" bestFit="1" customWidth="1"/>
    <col min="5" max="5" width="19.6328125" style="11" bestFit="1" customWidth="1"/>
    <col min="6" max="6" width="69.26953125" style="5" customWidth="1"/>
    <col min="7" max="7" width="14.26953125" style="5" bestFit="1" customWidth="1"/>
    <col min="8" max="8" width="69.1796875" style="5" bestFit="1" customWidth="1"/>
    <col min="9" max="9" width="27.08984375" style="5" bestFit="1" customWidth="1"/>
    <col min="10" max="10" width="10.453125" style="5" bestFit="1" customWidth="1"/>
    <col min="11" max="11" width="21.36328125" style="5" bestFit="1" customWidth="1"/>
    <col min="12" max="12" width="40.81640625" style="5" bestFit="1" customWidth="1"/>
    <col min="13" max="13" width="28.7265625" style="5" bestFit="1" customWidth="1"/>
    <col min="14" max="14" width="32.36328125" style="5" bestFit="1" customWidth="1"/>
    <col min="15" max="15" width="18.90625" style="5" bestFit="1" customWidth="1"/>
    <col min="16" max="16" width="113.36328125" style="5" bestFit="1" customWidth="1"/>
    <col min="17" max="17" width="74.08984375" style="5" bestFit="1" customWidth="1"/>
    <col min="18" max="18" width="30.54296875" style="5" bestFit="1" customWidth="1"/>
    <col min="19" max="19" width="36.08984375" style="5" bestFit="1" customWidth="1"/>
    <col min="20" max="20" width="27.81640625" style="5" bestFit="1" customWidth="1"/>
    <col min="21" max="21" width="17.81640625" style="5" bestFit="1" customWidth="1"/>
    <col min="22" max="22" width="18.26953125" style="5" bestFit="1" customWidth="1"/>
    <col min="23" max="23" width="35" style="26" bestFit="1" customWidth="1"/>
    <col min="24" max="24" width="17.26953125" style="5" bestFit="1" customWidth="1"/>
    <col min="25" max="25" width="18.6328125" style="5" bestFit="1" customWidth="1"/>
    <col min="26" max="26" width="12.26953125" style="5" bestFit="1" customWidth="1"/>
    <col min="27" max="27" width="21.36328125" style="5" bestFit="1" customWidth="1"/>
    <col min="28" max="16384" width="10.90625" style="5"/>
  </cols>
  <sheetData>
    <row r="1" spans="1:27" x14ac:dyDescent="0.35">
      <c r="A1" s="4" t="s">
        <v>321</v>
      </c>
      <c r="B1" s="1" t="s">
        <v>316</v>
      </c>
      <c r="C1" s="1" t="s">
        <v>0</v>
      </c>
      <c r="D1" s="12" t="s">
        <v>1</v>
      </c>
      <c r="E1" s="13" t="s">
        <v>307</v>
      </c>
      <c r="F1" s="1" t="s">
        <v>2</v>
      </c>
      <c r="G1" s="1" t="s">
        <v>3</v>
      </c>
      <c r="H1" s="1" t="s">
        <v>4</v>
      </c>
      <c r="I1" s="23" t="s">
        <v>319</v>
      </c>
      <c r="J1" s="1" t="s">
        <v>64</v>
      </c>
      <c r="K1" s="1" t="s">
        <v>65</v>
      </c>
      <c r="L1" s="1" t="s">
        <v>66</v>
      </c>
      <c r="M1" s="1" t="s">
        <v>5</v>
      </c>
      <c r="N1" s="1" t="s">
        <v>6</v>
      </c>
      <c r="O1" s="1" t="s">
        <v>305</v>
      </c>
      <c r="P1" s="1" t="s">
        <v>7</v>
      </c>
      <c r="Q1" s="1" t="s">
        <v>317</v>
      </c>
      <c r="R1" s="1" t="s">
        <v>8</v>
      </c>
      <c r="S1" s="1" t="s">
        <v>300</v>
      </c>
      <c r="T1" s="1" t="s">
        <v>9</v>
      </c>
      <c r="U1" s="1" t="s">
        <v>303</v>
      </c>
      <c r="V1" s="1" t="s">
        <v>304</v>
      </c>
      <c r="W1" s="25" t="s">
        <v>318</v>
      </c>
      <c r="X1" s="1" t="s">
        <v>62</v>
      </c>
      <c r="Y1" s="1" t="s">
        <v>63</v>
      </c>
      <c r="Z1" s="4" t="s">
        <v>302</v>
      </c>
      <c r="AA1" s="22" t="s">
        <v>308</v>
      </c>
    </row>
    <row r="2" spans="1:27" ht="58" x14ac:dyDescent="0.35">
      <c r="A2" s="24">
        <v>46090</v>
      </c>
      <c r="B2" s="10">
        <v>46069</v>
      </c>
      <c r="C2" s="6" t="s">
        <v>324</v>
      </c>
      <c r="D2" s="11" t="s">
        <v>325</v>
      </c>
      <c r="E2" s="11">
        <f t="shared" ref="E2:E50" si="0">COUNTIF(D:D,D2)</f>
        <v>1</v>
      </c>
      <c r="F2" s="7" t="s">
        <v>326</v>
      </c>
      <c r="G2" s="8">
        <v>3797820.87</v>
      </c>
      <c r="H2" s="9" t="s">
        <v>213</v>
      </c>
      <c r="I2" s="9" t="s">
        <v>320</v>
      </c>
      <c r="J2" s="9" t="s">
        <v>81</v>
      </c>
      <c r="K2" s="9" t="s">
        <v>96</v>
      </c>
      <c r="L2" s="9" t="s">
        <v>97</v>
      </c>
      <c r="M2" s="9"/>
      <c r="N2" s="9" t="s">
        <v>60</v>
      </c>
      <c r="O2" s="9"/>
      <c r="P2" s="9" t="s">
        <v>327</v>
      </c>
      <c r="Q2" s="9" t="s">
        <v>328</v>
      </c>
      <c r="R2" s="9" t="s">
        <v>329</v>
      </c>
      <c r="S2" s="9" t="s">
        <v>301</v>
      </c>
      <c r="T2" s="9" t="s">
        <v>322</v>
      </c>
      <c r="U2" s="9"/>
      <c r="V2" s="9"/>
      <c r="W2" s="26">
        <v>-0.16819999999999999</v>
      </c>
      <c r="X2" s="5">
        <v>60</v>
      </c>
      <c r="Y2" s="5">
        <v>40</v>
      </c>
      <c r="AA2" s="5">
        <f t="shared" ref="AA2:AA3" si="1">SUM(X2:Z2)</f>
        <v>100</v>
      </c>
    </row>
    <row r="3" spans="1:27" ht="29" x14ac:dyDescent="0.35">
      <c r="A3" s="24">
        <v>46090</v>
      </c>
      <c r="B3" s="10">
        <v>46065</v>
      </c>
      <c r="C3" s="7" t="s">
        <v>330</v>
      </c>
      <c r="D3" s="11" t="s">
        <v>331</v>
      </c>
      <c r="E3" s="11">
        <f t="shared" si="0"/>
        <v>1</v>
      </c>
      <c r="F3" s="7" t="s">
        <v>332</v>
      </c>
      <c r="G3" s="27">
        <v>2525951.25</v>
      </c>
      <c r="H3" s="9" t="s">
        <v>266</v>
      </c>
      <c r="I3" s="9" t="s">
        <v>320</v>
      </c>
      <c r="J3" s="9" t="s">
        <v>81</v>
      </c>
      <c r="K3" s="9" t="s">
        <v>90</v>
      </c>
      <c r="L3" s="9" t="s">
        <v>159</v>
      </c>
      <c r="M3" s="9"/>
      <c r="N3" s="9" t="s">
        <v>60</v>
      </c>
      <c r="O3" s="9" t="s">
        <v>333</v>
      </c>
      <c r="P3" s="9" t="s">
        <v>327</v>
      </c>
      <c r="Q3" s="9" t="s">
        <v>334</v>
      </c>
      <c r="R3" s="9" t="s">
        <v>329</v>
      </c>
      <c r="S3" s="9" t="s">
        <v>301</v>
      </c>
      <c r="T3" s="9" t="s">
        <v>322</v>
      </c>
      <c r="U3" s="9">
        <v>12</v>
      </c>
      <c r="V3" s="9"/>
      <c r="W3" s="26">
        <v>-0.158</v>
      </c>
      <c r="X3" s="5">
        <v>100</v>
      </c>
      <c r="AA3" s="5">
        <f t="shared" si="1"/>
        <v>100</v>
      </c>
    </row>
    <row r="4" spans="1:27" ht="58" x14ac:dyDescent="0.35">
      <c r="A4" s="24">
        <v>46090</v>
      </c>
      <c r="B4" s="10">
        <v>46069</v>
      </c>
      <c r="C4" s="7" t="s">
        <v>335</v>
      </c>
      <c r="D4" s="11" t="s">
        <v>336</v>
      </c>
      <c r="E4" s="11">
        <f t="shared" si="0"/>
        <v>1</v>
      </c>
      <c r="F4" s="7" t="s">
        <v>326</v>
      </c>
      <c r="G4" s="27">
        <v>2065472</v>
      </c>
      <c r="H4" s="9" t="s">
        <v>213</v>
      </c>
      <c r="I4" s="9" t="s">
        <v>320</v>
      </c>
      <c r="J4" s="9" t="s">
        <v>81</v>
      </c>
      <c r="K4" s="9" t="s">
        <v>96</v>
      </c>
      <c r="L4" s="9" t="s">
        <v>97</v>
      </c>
      <c r="M4" s="9"/>
      <c r="N4" s="9" t="s">
        <v>60</v>
      </c>
      <c r="O4" s="9"/>
      <c r="P4" s="9" t="s">
        <v>327</v>
      </c>
      <c r="Q4" s="9" t="s">
        <v>328</v>
      </c>
      <c r="R4" s="9" t="s">
        <v>329</v>
      </c>
      <c r="S4" s="9" t="s">
        <v>301</v>
      </c>
      <c r="T4" s="9" t="s">
        <v>322</v>
      </c>
      <c r="U4" s="9">
        <v>51</v>
      </c>
      <c r="V4" s="9"/>
      <c r="W4" s="26">
        <v>0</v>
      </c>
      <c r="X4" s="5">
        <v>60</v>
      </c>
      <c r="Y4" s="5">
        <v>40</v>
      </c>
      <c r="AA4" s="5">
        <f t="shared" ref="AA4:AA7" si="2">SUM(X4:Z4)</f>
        <v>100</v>
      </c>
    </row>
    <row r="5" spans="1:27" ht="72.5" x14ac:dyDescent="0.35">
      <c r="A5" s="24">
        <v>46090</v>
      </c>
      <c r="B5" s="24">
        <v>46083</v>
      </c>
      <c r="C5" s="7" t="s">
        <v>337</v>
      </c>
      <c r="D5" s="11" t="s">
        <v>338</v>
      </c>
      <c r="E5" s="11">
        <f t="shared" si="0"/>
        <v>1</v>
      </c>
      <c r="F5" s="7" t="s">
        <v>339</v>
      </c>
      <c r="G5" s="27">
        <v>1998416</v>
      </c>
      <c r="H5" s="9" t="s">
        <v>240</v>
      </c>
      <c r="I5" s="9" t="s">
        <v>320</v>
      </c>
      <c r="J5" s="9" t="s">
        <v>81</v>
      </c>
      <c r="K5" s="9" t="s">
        <v>130</v>
      </c>
      <c r="L5" s="9" t="s">
        <v>131</v>
      </c>
      <c r="M5" s="9"/>
      <c r="N5" s="9" t="s">
        <v>53</v>
      </c>
      <c r="O5" s="9" t="s">
        <v>340</v>
      </c>
      <c r="P5" s="9" t="s">
        <v>341</v>
      </c>
      <c r="Q5" s="9" t="s">
        <v>342</v>
      </c>
      <c r="R5" s="9" t="s">
        <v>343</v>
      </c>
      <c r="S5" s="9" t="s">
        <v>301</v>
      </c>
      <c r="T5" s="9" t="s">
        <v>322</v>
      </c>
      <c r="U5" s="9">
        <v>4</v>
      </c>
      <c r="V5" s="9"/>
      <c r="W5" s="26">
        <v>-0.19550000000000001</v>
      </c>
      <c r="X5" s="5">
        <v>100</v>
      </c>
      <c r="AA5" s="5">
        <f t="shared" si="2"/>
        <v>100</v>
      </c>
    </row>
    <row r="6" spans="1:27" ht="29" x14ac:dyDescent="0.35">
      <c r="A6" s="24">
        <v>46090</v>
      </c>
      <c r="B6" s="24">
        <v>46087</v>
      </c>
      <c r="C6" s="7" t="s">
        <v>344</v>
      </c>
      <c r="D6" s="11" t="s">
        <v>345</v>
      </c>
      <c r="E6" s="11">
        <f t="shared" si="0"/>
        <v>1</v>
      </c>
      <c r="F6" s="5" t="s">
        <v>346</v>
      </c>
      <c r="G6" s="27">
        <v>1365340.85</v>
      </c>
      <c r="H6" s="9" t="s">
        <v>211</v>
      </c>
      <c r="I6" s="9" t="s">
        <v>320</v>
      </c>
      <c r="J6" s="9" t="s">
        <v>81</v>
      </c>
      <c r="K6" s="9" t="s">
        <v>82</v>
      </c>
      <c r="L6" s="9" t="s">
        <v>94</v>
      </c>
      <c r="M6" s="9"/>
      <c r="N6" s="9" t="s">
        <v>48</v>
      </c>
      <c r="O6" s="9" t="s">
        <v>347</v>
      </c>
      <c r="P6" s="9" t="s">
        <v>348</v>
      </c>
      <c r="Q6" s="9" t="s">
        <v>349</v>
      </c>
      <c r="R6" s="9" t="s">
        <v>343</v>
      </c>
      <c r="S6" s="9" t="s">
        <v>301</v>
      </c>
      <c r="T6" s="9" t="s">
        <v>322</v>
      </c>
      <c r="U6" s="9">
        <v>12</v>
      </c>
      <c r="V6" s="9"/>
      <c r="W6" s="26">
        <v>0</v>
      </c>
      <c r="X6" s="5">
        <v>90</v>
      </c>
      <c r="Y6" s="5">
        <v>10</v>
      </c>
      <c r="AA6" s="5">
        <f t="shared" si="2"/>
        <v>100</v>
      </c>
    </row>
    <row r="7" spans="1:27" ht="58" x14ac:dyDescent="0.35">
      <c r="A7" s="24">
        <v>46090</v>
      </c>
      <c r="B7" s="24">
        <v>46078</v>
      </c>
      <c r="C7" s="7" t="s">
        <v>350</v>
      </c>
      <c r="D7" s="11" t="s">
        <v>351</v>
      </c>
      <c r="E7" s="11">
        <f t="shared" si="0"/>
        <v>1</v>
      </c>
      <c r="F7" s="7" t="s">
        <v>352</v>
      </c>
      <c r="G7" s="27">
        <v>1159000</v>
      </c>
      <c r="H7" s="9" t="s">
        <v>266</v>
      </c>
      <c r="I7" s="9" t="s">
        <v>320</v>
      </c>
      <c r="J7" s="9" t="s">
        <v>81</v>
      </c>
      <c r="K7" s="9" t="s">
        <v>90</v>
      </c>
      <c r="L7" s="9" t="s">
        <v>159</v>
      </c>
      <c r="M7" s="9"/>
      <c r="N7" s="9" t="s">
        <v>55</v>
      </c>
      <c r="O7" s="9" t="s">
        <v>353</v>
      </c>
      <c r="P7" s="9" t="s">
        <v>354</v>
      </c>
      <c r="Q7" s="9" t="s">
        <v>355</v>
      </c>
      <c r="R7" s="9" t="s">
        <v>46</v>
      </c>
      <c r="S7" s="9" t="s">
        <v>356</v>
      </c>
      <c r="T7" s="9" t="s">
        <v>322</v>
      </c>
      <c r="U7" s="9">
        <v>48</v>
      </c>
      <c r="V7" s="9"/>
      <c r="W7" s="26">
        <v>-0.05</v>
      </c>
      <c r="X7" s="5">
        <v>80</v>
      </c>
      <c r="Y7" s="5">
        <v>20</v>
      </c>
      <c r="AA7" s="5">
        <f t="shared" si="2"/>
        <v>100</v>
      </c>
    </row>
    <row r="8" spans="1:27" ht="29" x14ac:dyDescent="0.35">
      <c r="A8" s="24">
        <v>46090</v>
      </c>
      <c r="B8" s="24">
        <v>46090</v>
      </c>
      <c r="C8" s="7" t="s">
        <v>357</v>
      </c>
      <c r="D8" s="11" t="s">
        <v>358</v>
      </c>
      <c r="E8" s="11">
        <f t="shared" si="0"/>
        <v>1</v>
      </c>
      <c r="F8" s="5" t="s">
        <v>359</v>
      </c>
      <c r="G8" s="27">
        <v>1041579.8</v>
      </c>
      <c r="H8" s="9" t="s">
        <v>240</v>
      </c>
      <c r="I8" s="9" t="s">
        <v>320</v>
      </c>
      <c r="J8" s="9" t="s">
        <v>81</v>
      </c>
      <c r="K8" s="9" t="s">
        <v>130</v>
      </c>
      <c r="L8" s="9" t="s">
        <v>131</v>
      </c>
      <c r="N8" s="9" t="s">
        <v>15</v>
      </c>
      <c r="O8" s="9" t="s">
        <v>360</v>
      </c>
      <c r="P8" s="9" t="s">
        <v>361</v>
      </c>
      <c r="Q8" s="9" t="s">
        <v>362</v>
      </c>
      <c r="R8" s="9" t="s">
        <v>11</v>
      </c>
      <c r="S8" s="9" t="s">
        <v>363</v>
      </c>
      <c r="T8" s="9" t="s">
        <v>322</v>
      </c>
      <c r="U8" s="9">
        <v>24</v>
      </c>
      <c r="V8" s="9"/>
      <c r="W8" s="26">
        <v>0</v>
      </c>
      <c r="X8" s="5">
        <v>40</v>
      </c>
      <c r="Y8" s="5">
        <v>10</v>
      </c>
      <c r="Z8" s="5">
        <v>50</v>
      </c>
      <c r="AA8" s="5">
        <f t="shared" ref="AA8:AA9" si="3">SUM(X8:Z8)</f>
        <v>100</v>
      </c>
    </row>
    <row r="9" spans="1:27" ht="43.5" x14ac:dyDescent="0.35">
      <c r="A9" s="24">
        <v>46090</v>
      </c>
      <c r="B9" s="24">
        <v>46077</v>
      </c>
      <c r="C9" s="7" t="s">
        <v>364</v>
      </c>
      <c r="D9" s="11" t="s">
        <v>365</v>
      </c>
      <c r="E9" s="11">
        <f t="shared" si="0"/>
        <v>1</v>
      </c>
      <c r="F9" s="5" t="s">
        <v>366</v>
      </c>
      <c r="G9" s="27">
        <v>1030186.11</v>
      </c>
      <c r="H9" s="9" t="s">
        <v>232</v>
      </c>
      <c r="I9" s="9" t="s">
        <v>320</v>
      </c>
      <c r="J9" s="9" t="s">
        <v>81</v>
      </c>
      <c r="K9" s="9" t="s">
        <v>119</v>
      </c>
      <c r="L9" s="9" t="s">
        <v>120</v>
      </c>
      <c r="N9" s="9" t="s">
        <v>38</v>
      </c>
      <c r="O9" s="9" t="s">
        <v>38</v>
      </c>
      <c r="P9" s="9" t="s">
        <v>364</v>
      </c>
      <c r="Q9" s="9" t="s">
        <v>328</v>
      </c>
      <c r="R9" s="9" t="s">
        <v>367</v>
      </c>
      <c r="S9" s="9" t="s">
        <v>368</v>
      </c>
      <c r="T9" s="9" t="s">
        <v>322</v>
      </c>
      <c r="U9" s="9">
        <v>60</v>
      </c>
      <c r="V9" s="9"/>
      <c r="W9" s="26">
        <v>-2.7000000000000001E-3</v>
      </c>
      <c r="X9" s="5">
        <v>100</v>
      </c>
      <c r="AA9" s="5">
        <f t="shared" si="3"/>
        <v>100</v>
      </c>
    </row>
    <row r="10" spans="1:27" ht="72.5" x14ac:dyDescent="0.35">
      <c r="A10" s="24">
        <v>46091</v>
      </c>
      <c r="B10" s="24">
        <v>46090</v>
      </c>
      <c r="C10" s="7" t="s">
        <v>369</v>
      </c>
      <c r="D10" s="11" t="s">
        <v>370</v>
      </c>
      <c r="E10" s="11">
        <f t="shared" si="0"/>
        <v>1</v>
      </c>
      <c r="F10" s="5" t="s">
        <v>371</v>
      </c>
      <c r="G10" s="27">
        <v>3285313.1</v>
      </c>
      <c r="H10" s="9" t="s">
        <v>240</v>
      </c>
      <c r="I10" s="9" t="s">
        <v>320</v>
      </c>
      <c r="J10" s="9" t="s">
        <v>81</v>
      </c>
      <c r="K10" s="9" t="s">
        <v>130</v>
      </c>
      <c r="L10" s="9" t="s">
        <v>131</v>
      </c>
      <c r="N10" s="9" t="s">
        <v>56</v>
      </c>
      <c r="O10" s="9" t="s">
        <v>306</v>
      </c>
      <c r="P10" s="9" t="s">
        <v>372</v>
      </c>
      <c r="Q10" s="9" t="s">
        <v>373</v>
      </c>
      <c r="R10" s="9" t="s">
        <v>374</v>
      </c>
      <c r="S10" s="9" t="s">
        <v>368</v>
      </c>
      <c r="T10" s="9" t="s">
        <v>322</v>
      </c>
      <c r="U10" s="9">
        <v>9</v>
      </c>
      <c r="V10" s="9"/>
      <c r="W10" s="26">
        <v>-0.30259999999999998</v>
      </c>
      <c r="X10" s="5">
        <v>100</v>
      </c>
      <c r="AA10" s="5">
        <f t="shared" ref="AA10" si="4">SUM(X10:Z10)</f>
        <v>100</v>
      </c>
    </row>
    <row r="11" spans="1:27" ht="72.5" x14ac:dyDescent="0.35">
      <c r="A11" s="24">
        <v>46091</v>
      </c>
      <c r="B11" s="24">
        <v>46076</v>
      </c>
      <c r="C11" s="7" t="s">
        <v>375</v>
      </c>
      <c r="D11" s="11" t="s">
        <v>376</v>
      </c>
      <c r="E11" s="11">
        <f t="shared" si="0"/>
        <v>1</v>
      </c>
      <c r="F11" s="5" t="s">
        <v>377</v>
      </c>
      <c r="G11" s="27">
        <v>2697930</v>
      </c>
      <c r="H11" s="9" t="s">
        <v>213</v>
      </c>
      <c r="I11" s="9" t="s">
        <v>320</v>
      </c>
      <c r="J11" s="9" t="s">
        <v>81</v>
      </c>
      <c r="K11" s="9" t="s">
        <v>96</v>
      </c>
      <c r="L11" s="9" t="s">
        <v>97</v>
      </c>
      <c r="N11" s="9" t="s">
        <v>56</v>
      </c>
      <c r="O11" s="9" t="s">
        <v>306</v>
      </c>
      <c r="P11" s="9" t="s">
        <v>378</v>
      </c>
      <c r="Q11" s="9" t="s">
        <v>379</v>
      </c>
      <c r="R11" s="9" t="s">
        <v>16</v>
      </c>
      <c r="S11" s="9"/>
      <c r="T11" s="9" t="s">
        <v>36</v>
      </c>
      <c r="U11" s="9"/>
      <c r="V11" s="9"/>
      <c r="W11" s="26">
        <v>-8.0000000000000004E-4</v>
      </c>
      <c r="X11" s="5">
        <v>100</v>
      </c>
      <c r="AA11" s="5">
        <f t="shared" ref="AA11:AA16" si="5">SUM(X11:Z11)</f>
        <v>100</v>
      </c>
    </row>
    <row r="12" spans="1:27" ht="43.5" x14ac:dyDescent="0.35">
      <c r="A12" s="24">
        <v>46091</v>
      </c>
      <c r="B12" s="24">
        <v>46071</v>
      </c>
      <c r="C12" s="7" t="s">
        <v>380</v>
      </c>
      <c r="D12" s="11" t="s">
        <v>381</v>
      </c>
      <c r="E12" s="11">
        <f t="shared" si="0"/>
        <v>1</v>
      </c>
      <c r="F12" s="7" t="s">
        <v>382</v>
      </c>
      <c r="G12" s="27">
        <v>1630643.79</v>
      </c>
      <c r="H12" s="9" t="s">
        <v>265</v>
      </c>
      <c r="I12" s="9" t="s">
        <v>320</v>
      </c>
      <c r="J12" s="9" t="s">
        <v>81</v>
      </c>
      <c r="K12" s="9" t="s">
        <v>119</v>
      </c>
      <c r="L12" s="9" t="s">
        <v>158</v>
      </c>
      <c r="N12" s="9" t="s">
        <v>56</v>
      </c>
      <c r="O12" s="9" t="s">
        <v>306</v>
      </c>
      <c r="P12" s="9" t="s">
        <v>383</v>
      </c>
      <c r="Q12" s="9" t="s">
        <v>384</v>
      </c>
      <c r="R12" s="9" t="s">
        <v>43</v>
      </c>
      <c r="S12" s="9"/>
      <c r="T12" s="9" t="s">
        <v>36</v>
      </c>
      <c r="U12" s="9"/>
      <c r="V12" s="9"/>
      <c r="W12" s="26">
        <v>-0.15359999999999999</v>
      </c>
      <c r="X12" s="5">
        <v>30</v>
      </c>
      <c r="Y12" s="5">
        <v>45</v>
      </c>
      <c r="Z12" s="5">
        <v>25</v>
      </c>
      <c r="AA12" s="5">
        <f t="shared" si="5"/>
        <v>100</v>
      </c>
    </row>
    <row r="13" spans="1:27" ht="72.5" x14ac:dyDescent="0.35">
      <c r="A13" s="24">
        <v>46091</v>
      </c>
      <c r="B13" s="24">
        <v>46090</v>
      </c>
      <c r="C13" s="7" t="s">
        <v>385</v>
      </c>
      <c r="D13" s="11" t="s">
        <v>386</v>
      </c>
      <c r="E13" s="11">
        <f t="shared" si="0"/>
        <v>1</v>
      </c>
      <c r="F13" s="5" t="s">
        <v>371</v>
      </c>
      <c r="G13" s="27">
        <v>1619834.71</v>
      </c>
      <c r="H13" s="9" t="s">
        <v>240</v>
      </c>
      <c r="I13" s="9" t="s">
        <v>320</v>
      </c>
      <c r="J13" s="9" t="s">
        <v>81</v>
      </c>
      <c r="K13" s="9" t="s">
        <v>130</v>
      </c>
      <c r="L13" s="9" t="s">
        <v>131</v>
      </c>
      <c r="N13" s="9" t="s">
        <v>56</v>
      </c>
      <c r="P13" s="5" t="s">
        <v>387</v>
      </c>
      <c r="Q13" s="5" t="s">
        <v>388</v>
      </c>
      <c r="R13" s="9" t="s">
        <v>16</v>
      </c>
      <c r="S13" s="9" t="s">
        <v>389</v>
      </c>
      <c r="T13" s="5" t="s">
        <v>322</v>
      </c>
      <c r="U13" s="5">
        <v>9</v>
      </c>
      <c r="W13" s="26">
        <v>0</v>
      </c>
      <c r="X13" s="5">
        <v>23</v>
      </c>
      <c r="Y13" s="5">
        <v>69</v>
      </c>
      <c r="Z13" s="5">
        <v>8</v>
      </c>
      <c r="AA13" s="5">
        <f t="shared" si="5"/>
        <v>100</v>
      </c>
    </row>
    <row r="14" spans="1:27" ht="43.5" x14ac:dyDescent="0.35">
      <c r="A14" s="24">
        <v>46092</v>
      </c>
      <c r="B14" s="24">
        <v>46077</v>
      </c>
      <c r="C14" s="7" t="s">
        <v>390</v>
      </c>
      <c r="D14" s="11" t="s">
        <v>391</v>
      </c>
      <c r="E14" s="11">
        <f t="shared" si="0"/>
        <v>1</v>
      </c>
      <c r="F14" s="5" t="s">
        <v>392</v>
      </c>
      <c r="G14" s="27">
        <v>1614990</v>
      </c>
      <c r="H14" s="9" t="s">
        <v>237</v>
      </c>
      <c r="I14" s="9" t="s">
        <v>320</v>
      </c>
      <c r="J14" s="9" t="s">
        <v>81</v>
      </c>
      <c r="K14" s="9" t="s">
        <v>82</v>
      </c>
      <c r="L14" s="9" t="s">
        <v>127</v>
      </c>
      <c r="N14" s="9" t="s">
        <v>53</v>
      </c>
      <c r="O14" s="5" t="s">
        <v>393</v>
      </c>
      <c r="P14" s="5" t="s">
        <v>394</v>
      </c>
      <c r="Q14" s="5" t="s">
        <v>395</v>
      </c>
      <c r="R14" s="9" t="s">
        <v>367</v>
      </c>
      <c r="S14" s="9"/>
      <c r="T14" s="9" t="s">
        <v>52</v>
      </c>
      <c r="U14" s="9"/>
      <c r="V14" s="9"/>
      <c r="W14" s="26">
        <v>-0.188</v>
      </c>
    </row>
    <row r="15" spans="1:27" ht="101.5" x14ac:dyDescent="0.35">
      <c r="A15" s="24">
        <v>46093</v>
      </c>
      <c r="B15" s="24">
        <v>46077</v>
      </c>
      <c r="C15" s="7" t="s">
        <v>396</v>
      </c>
      <c r="D15" s="11" t="s">
        <v>397</v>
      </c>
      <c r="E15" s="11">
        <f t="shared" si="0"/>
        <v>1</v>
      </c>
      <c r="F15" s="7" t="s">
        <v>398</v>
      </c>
      <c r="G15" s="27">
        <v>2355194.7000000002</v>
      </c>
      <c r="H15" s="9" t="s">
        <v>230</v>
      </c>
      <c r="I15" s="9" t="s">
        <v>320</v>
      </c>
      <c r="J15" s="9" t="s">
        <v>81</v>
      </c>
      <c r="K15" s="9" t="s">
        <v>116</v>
      </c>
      <c r="L15" s="9" t="s">
        <v>117</v>
      </c>
      <c r="N15" s="9" t="s">
        <v>56</v>
      </c>
      <c r="O15" s="9" t="s">
        <v>306</v>
      </c>
      <c r="P15" s="5" t="s">
        <v>399</v>
      </c>
      <c r="Q15" s="5" t="s">
        <v>328</v>
      </c>
      <c r="R15" s="9" t="s">
        <v>16</v>
      </c>
      <c r="S15" s="9" t="s">
        <v>389</v>
      </c>
      <c r="T15" s="9" t="s">
        <v>322</v>
      </c>
      <c r="U15" s="9">
        <v>11</v>
      </c>
      <c r="V15" s="9"/>
      <c r="W15" s="26">
        <v>-5.0099999999999999E-2</v>
      </c>
      <c r="X15" s="5">
        <v>75</v>
      </c>
      <c r="Y15" s="5">
        <v>25</v>
      </c>
      <c r="AA15" s="5">
        <f t="shared" si="5"/>
        <v>100</v>
      </c>
    </row>
    <row r="16" spans="1:27" ht="29" x14ac:dyDescent="0.35">
      <c r="A16" s="24">
        <v>46093</v>
      </c>
      <c r="B16" s="24">
        <v>46093</v>
      </c>
      <c r="C16" s="7" t="s">
        <v>400</v>
      </c>
      <c r="D16" s="11" t="s">
        <v>401</v>
      </c>
      <c r="E16" s="11">
        <f t="shared" si="0"/>
        <v>1</v>
      </c>
      <c r="F16" s="5" t="s">
        <v>402</v>
      </c>
      <c r="G16" s="27">
        <v>2140740.9</v>
      </c>
      <c r="H16" s="9" t="s">
        <v>266</v>
      </c>
      <c r="I16" s="9" t="s">
        <v>320</v>
      </c>
      <c r="J16" s="9" t="s">
        <v>81</v>
      </c>
      <c r="K16" s="9" t="s">
        <v>90</v>
      </c>
      <c r="L16" s="9" t="s">
        <v>159</v>
      </c>
      <c r="N16" s="9" t="s">
        <v>15</v>
      </c>
      <c r="O16" s="9" t="s">
        <v>360</v>
      </c>
      <c r="P16" s="5" t="s">
        <v>403</v>
      </c>
      <c r="Q16" s="5" t="s">
        <v>404</v>
      </c>
      <c r="R16" s="9" t="s">
        <v>43</v>
      </c>
      <c r="S16" s="9" t="s">
        <v>405</v>
      </c>
      <c r="T16" s="9" t="s">
        <v>322</v>
      </c>
      <c r="U16" s="9">
        <v>48</v>
      </c>
      <c r="V16" s="9"/>
      <c r="W16" s="26">
        <v>0</v>
      </c>
      <c r="X16" s="5">
        <v>60</v>
      </c>
      <c r="Y16" s="5">
        <v>40</v>
      </c>
      <c r="AA16" s="5">
        <f t="shared" si="5"/>
        <v>100</v>
      </c>
    </row>
    <row r="17" spans="1:27" ht="29" x14ac:dyDescent="0.35">
      <c r="A17" s="24">
        <v>46093</v>
      </c>
      <c r="B17" s="24">
        <v>46079</v>
      </c>
      <c r="C17" s="7" t="s">
        <v>406</v>
      </c>
      <c r="D17" s="11" t="s">
        <v>407</v>
      </c>
      <c r="E17" s="11">
        <f t="shared" si="0"/>
        <v>1</v>
      </c>
      <c r="F17" s="5" t="s">
        <v>402</v>
      </c>
      <c r="G17" s="27">
        <v>1157407</v>
      </c>
      <c r="H17" s="9" t="s">
        <v>266</v>
      </c>
      <c r="I17" s="9" t="s">
        <v>320</v>
      </c>
      <c r="J17" s="9" t="s">
        <v>81</v>
      </c>
      <c r="K17" s="9" t="s">
        <v>90</v>
      </c>
      <c r="L17" s="9" t="s">
        <v>159</v>
      </c>
      <c r="N17" s="9" t="s">
        <v>15</v>
      </c>
      <c r="O17" s="9" t="s">
        <v>360</v>
      </c>
      <c r="P17" s="5" t="s">
        <v>408</v>
      </c>
      <c r="Q17" s="5" t="s">
        <v>409</v>
      </c>
      <c r="R17" s="9" t="s">
        <v>39</v>
      </c>
      <c r="S17" s="9" t="s">
        <v>410</v>
      </c>
      <c r="T17" s="9" t="s">
        <v>322</v>
      </c>
      <c r="U17" s="9"/>
      <c r="V17" s="9"/>
      <c r="W17" s="26">
        <v>-0.27660000000000001</v>
      </c>
      <c r="X17" s="5">
        <v>15</v>
      </c>
      <c r="Y17" s="5">
        <v>60</v>
      </c>
      <c r="Z17" s="5">
        <v>25</v>
      </c>
      <c r="AA17" s="5">
        <f t="shared" ref="AA17:AA19" si="6">SUM(X17:Z17)</f>
        <v>100</v>
      </c>
    </row>
    <row r="18" spans="1:27" ht="58" x14ac:dyDescent="0.35">
      <c r="A18" s="24">
        <v>46093</v>
      </c>
      <c r="B18" s="24">
        <v>46092</v>
      </c>
      <c r="C18" s="7" t="s">
        <v>411</v>
      </c>
      <c r="D18" s="11" t="s">
        <v>412</v>
      </c>
      <c r="E18" s="11">
        <f t="shared" si="0"/>
        <v>1</v>
      </c>
      <c r="F18" s="5" t="s">
        <v>413</v>
      </c>
      <c r="G18" s="27">
        <v>1130769</v>
      </c>
      <c r="H18" s="9" t="s">
        <v>240</v>
      </c>
      <c r="I18" s="9" t="s">
        <v>320</v>
      </c>
      <c r="J18" s="9" t="s">
        <v>81</v>
      </c>
      <c r="K18" s="9" t="s">
        <v>130</v>
      </c>
      <c r="L18" s="9" t="s">
        <v>131</v>
      </c>
      <c r="N18" s="9" t="s">
        <v>15</v>
      </c>
      <c r="O18" s="9" t="s">
        <v>414</v>
      </c>
      <c r="P18" s="5" t="s">
        <v>415</v>
      </c>
      <c r="Q18" s="5" t="s">
        <v>416</v>
      </c>
      <c r="R18" s="9" t="s">
        <v>49</v>
      </c>
      <c r="S18" s="9" t="s">
        <v>363</v>
      </c>
      <c r="T18" s="9" t="s">
        <v>36</v>
      </c>
      <c r="U18" s="9">
        <v>60</v>
      </c>
      <c r="V18" s="9"/>
      <c r="W18" s="26">
        <v>0</v>
      </c>
    </row>
    <row r="19" spans="1:27" ht="72.5" x14ac:dyDescent="0.35">
      <c r="A19" s="24">
        <v>46093</v>
      </c>
      <c r="B19" s="24">
        <v>46090</v>
      </c>
      <c r="C19" s="7" t="s">
        <v>417</v>
      </c>
      <c r="D19" s="11" t="s">
        <v>418</v>
      </c>
      <c r="E19" s="11">
        <f t="shared" si="0"/>
        <v>1</v>
      </c>
      <c r="F19" s="7" t="s">
        <v>419</v>
      </c>
      <c r="G19" s="27">
        <v>1055339</v>
      </c>
      <c r="H19" s="9" t="s">
        <v>240</v>
      </c>
      <c r="I19" s="9" t="s">
        <v>320</v>
      </c>
      <c r="J19" s="9" t="s">
        <v>81</v>
      </c>
      <c r="K19" s="9" t="s">
        <v>130</v>
      </c>
      <c r="L19" s="9" t="s">
        <v>131</v>
      </c>
      <c r="N19" s="9" t="s">
        <v>53</v>
      </c>
      <c r="O19" s="9" t="s">
        <v>393</v>
      </c>
      <c r="P19" s="5" t="s">
        <v>420</v>
      </c>
      <c r="Q19" s="5" t="s">
        <v>421</v>
      </c>
      <c r="R19" s="9" t="s">
        <v>343</v>
      </c>
      <c r="S19" s="9" t="s">
        <v>301</v>
      </c>
      <c r="T19" s="9" t="s">
        <v>322</v>
      </c>
      <c r="U19" s="9">
        <v>60</v>
      </c>
      <c r="V19" s="9"/>
      <c r="W19" s="26">
        <v>-0.27160000000000001</v>
      </c>
      <c r="X19" s="5">
        <v>50</v>
      </c>
      <c r="Y19" s="5">
        <v>50</v>
      </c>
      <c r="AA19" s="5">
        <f t="shared" si="6"/>
        <v>100</v>
      </c>
    </row>
    <row r="20" spans="1:27" ht="58" x14ac:dyDescent="0.35">
      <c r="A20" s="24">
        <v>46094</v>
      </c>
      <c r="B20" s="24">
        <v>46093</v>
      </c>
      <c r="C20" s="7" t="s">
        <v>422</v>
      </c>
      <c r="D20" s="11" t="s">
        <v>423</v>
      </c>
      <c r="E20" s="11">
        <f t="shared" si="0"/>
        <v>1</v>
      </c>
      <c r="F20" s="5" t="s">
        <v>424</v>
      </c>
      <c r="G20" s="27">
        <v>4591903.96</v>
      </c>
      <c r="H20" s="9" t="s">
        <v>219</v>
      </c>
      <c r="I20" s="9" t="s">
        <v>320</v>
      </c>
      <c r="J20" s="9" t="s">
        <v>81</v>
      </c>
      <c r="K20" s="9" t="s">
        <v>82</v>
      </c>
      <c r="L20" s="9" t="s">
        <v>105</v>
      </c>
      <c r="N20" s="9"/>
      <c r="O20" s="9"/>
      <c r="P20" s="5" t="s">
        <v>425</v>
      </c>
      <c r="Q20" s="5" t="s">
        <v>426</v>
      </c>
      <c r="R20" s="9" t="s">
        <v>329</v>
      </c>
      <c r="S20" s="9" t="s">
        <v>427</v>
      </c>
      <c r="T20" s="9" t="s">
        <v>17</v>
      </c>
      <c r="U20" s="9"/>
      <c r="V20" s="9"/>
      <c r="W20" s="26">
        <v>0</v>
      </c>
    </row>
    <row r="21" spans="1:27" ht="29" x14ac:dyDescent="0.35">
      <c r="A21" s="24">
        <v>46094</v>
      </c>
      <c r="B21" s="24">
        <v>46092</v>
      </c>
      <c r="C21" s="7" t="s">
        <v>428</v>
      </c>
      <c r="D21" s="11" t="s">
        <v>429</v>
      </c>
      <c r="E21" s="11">
        <f t="shared" si="0"/>
        <v>1</v>
      </c>
      <c r="F21" s="5" t="s">
        <v>430</v>
      </c>
      <c r="G21" s="27">
        <v>1136567.92</v>
      </c>
      <c r="H21" s="9" t="s">
        <v>240</v>
      </c>
      <c r="I21" s="9" t="s">
        <v>320</v>
      </c>
      <c r="J21" s="9" t="s">
        <v>81</v>
      </c>
      <c r="K21" s="9" t="s">
        <v>130</v>
      </c>
      <c r="L21" s="9" t="s">
        <v>131</v>
      </c>
      <c r="N21" s="9" t="s">
        <v>56</v>
      </c>
      <c r="O21" s="9" t="s">
        <v>306</v>
      </c>
      <c r="P21" s="5" t="s">
        <v>431</v>
      </c>
      <c r="Q21" s="5" t="s">
        <v>432</v>
      </c>
      <c r="R21" s="9" t="s">
        <v>49</v>
      </c>
      <c r="S21" s="9" t="s">
        <v>363</v>
      </c>
      <c r="T21" s="9" t="s">
        <v>17</v>
      </c>
      <c r="U21" s="9"/>
      <c r="V21" s="9"/>
      <c r="W21" s="26">
        <v>-0.46800000000000003</v>
      </c>
    </row>
    <row r="22" spans="1:27" ht="116" x14ac:dyDescent="0.35">
      <c r="A22" s="24">
        <v>46094</v>
      </c>
      <c r="B22" s="24">
        <v>46093</v>
      </c>
      <c r="C22" s="7" t="s">
        <v>433</v>
      </c>
      <c r="D22" s="11" t="s">
        <v>434</v>
      </c>
      <c r="E22" s="11">
        <f t="shared" si="0"/>
        <v>1</v>
      </c>
      <c r="F22" s="7" t="s">
        <v>435</v>
      </c>
      <c r="G22" s="27">
        <v>1015564.28</v>
      </c>
      <c r="H22" s="9" t="s">
        <v>236</v>
      </c>
      <c r="I22" s="9" t="s">
        <v>320</v>
      </c>
      <c r="J22" s="9" t="s">
        <v>81</v>
      </c>
      <c r="K22" s="9" t="s">
        <v>125</v>
      </c>
      <c r="L22" s="9" t="s">
        <v>126</v>
      </c>
      <c r="N22" s="9" t="s">
        <v>15</v>
      </c>
      <c r="O22" s="9"/>
      <c r="P22" s="5" t="s">
        <v>403</v>
      </c>
      <c r="Q22" s="5" t="s">
        <v>436</v>
      </c>
      <c r="R22" s="9" t="s">
        <v>43</v>
      </c>
      <c r="S22" s="9" t="s">
        <v>405</v>
      </c>
      <c r="T22" s="9" t="s">
        <v>322</v>
      </c>
      <c r="U22" s="9">
        <v>9</v>
      </c>
      <c r="V22" s="9"/>
      <c r="W22" s="26">
        <v>-7.6799999999999993E-2</v>
      </c>
      <c r="X22" s="5">
        <v>19</v>
      </c>
      <c r="Y22" s="5">
        <v>32</v>
      </c>
      <c r="Z22" s="5">
        <v>49</v>
      </c>
      <c r="AA22" s="5">
        <f t="shared" ref="AA22:AA24" si="7">SUM(X22:Z22)</f>
        <v>100</v>
      </c>
    </row>
    <row r="23" spans="1:27" ht="29" x14ac:dyDescent="0.35">
      <c r="A23" s="24">
        <v>46097</v>
      </c>
      <c r="B23" s="24">
        <v>46094</v>
      </c>
      <c r="C23" s="7" t="s">
        <v>437</v>
      </c>
      <c r="D23" s="11" t="s">
        <v>438</v>
      </c>
      <c r="E23" s="11">
        <f t="shared" si="0"/>
        <v>1</v>
      </c>
      <c r="F23" s="5" t="s">
        <v>439</v>
      </c>
      <c r="G23" s="27">
        <v>1165754</v>
      </c>
      <c r="H23" s="9" t="s">
        <v>230</v>
      </c>
      <c r="I23" s="9" t="s">
        <v>320</v>
      </c>
      <c r="J23" s="9" t="s">
        <v>81</v>
      </c>
      <c r="K23" s="9" t="s">
        <v>116</v>
      </c>
      <c r="L23" s="9" t="s">
        <v>117</v>
      </c>
      <c r="N23" s="9" t="s">
        <v>48</v>
      </c>
      <c r="O23" s="9" t="s">
        <v>347</v>
      </c>
      <c r="P23" s="5" t="s">
        <v>440</v>
      </c>
      <c r="Q23" s="5" t="s">
        <v>441</v>
      </c>
      <c r="R23" s="9" t="s">
        <v>46</v>
      </c>
      <c r="S23" s="9"/>
      <c r="T23" s="9" t="s">
        <v>36</v>
      </c>
      <c r="U23" s="9"/>
      <c r="V23" s="9"/>
      <c r="X23" s="5">
        <v>100</v>
      </c>
      <c r="AA23" s="5">
        <f t="shared" si="7"/>
        <v>100</v>
      </c>
    </row>
    <row r="24" spans="1:27" ht="87" x14ac:dyDescent="0.35">
      <c r="A24" s="24">
        <v>46099</v>
      </c>
      <c r="B24" s="24">
        <v>46099</v>
      </c>
      <c r="C24" s="7" t="s">
        <v>442</v>
      </c>
      <c r="D24" s="11" t="s">
        <v>443</v>
      </c>
      <c r="E24" s="11">
        <f t="shared" si="0"/>
        <v>1</v>
      </c>
      <c r="F24" s="7" t="s">
        <v>444</v>
      </c>
      <c r="G24" s="27">
        <v>2940929.46</v>
      </c>
      <c r="H24" s="9" t="s">
        <v>237</v>
      </c>
      <c r="I24" s="9" t="s">
        <v>320</v>
      </c>
      <c r="J24" s="9" t="s">
        <v>81</v>
      </c>
      <c r="K24" s="9" t="s">
        <v>82</v>
      </c>
      <c r="L24" s="9" t="s">
        <v>127</v>
      </c>
      <c r="N24" s="9" t="s">
        <v>56</v>
      </c>
      <c r="O24" s="9" t="s">
        <v>306</v>
      </c>
      <c r="P24" s="5" t="s">
        <v>445</v>
      </c>
      <c r="Q24" s="5" t="s">
        <v>446</v>
      </c>
      <c r="R24" s="9" t="s">
        <v>447</v>
      </c>
      <c r="S24" s="9"/>
      <c r="T24" s="9" t="s">
        <v>322</v>
      </c>
      <c r="U24" s="9">
        <v>60</v>
      </c>
      <c r="V24" s="9"/>
      <c r="W24" s="26">
        <v>-0.20200000000000001</v>
      </c>
      <c r="X24" s="5">
        <v>100</v>
      </c>
      <c r="AA24" s="5">
        <f t="shared" si="7"/>
        <v>100</v>
      </c>
    </row>
    <row r="25" spans="1:27" ht="29" x14ac:dyDescent="0.35">
      <c r="A25" s="24">
        <v>46099</v>
      </c>
      <c r="B25" s="24">
        <v>46084</v>
      </c>
      <c r="C25" s="7" t="s">
        <v>448</v>
      </c>
      <c r="D25" s="11" t="s">
        <v>449</v>
      </c>
      <c r="E25" s="11">
        <f t="shared" si="0"/>
        <v>1</v>
      </c>
      <c r="F25" s="7" t="s">
        <v>450</v>
      </c>
      <c r="G25" s="27">
        <v>1511626.9</v>
      </c>
      <c r="H25" s="9" t="s">
        <v>230</v>
      </c>
      <c r="I25" s="9" t="s">
        <v>320</v>
      </c>
      <c r="J25" s="9" t="s">
        <v>81</v>
      </c>
      <c r="K25" s="9" t="s">
        <v>116</v>
      </c>
      <c r="L25" s="9" t="s">
        <v>117</v>
      </c>
      <c r="N25" s="9" t="s">
        <v>48</v>
      </c>
      <c r="O25" s="9"/>
      <c r="P25" s="5" t="s">
        <v>451</v>
      </c>
      <c r="Q25" s="5" t="s">
        <v>452</v>
      </c>
      <c r="R25" s="9" t="s">
        <v>367</v>
      </c>
      <c r="S25" s="9"/>
      <c r="T25" s="9" t="s">
        <v>322</v>
      </c>
      <c r="U25" s="9">
        <v>36</v>
      </c>
      <c r="V25" s="9"/>
      <c r="W25" s="26">
        <v>-0.03</v>
      </c>
      <c r="X25" s="5">
        <v>35</v>
      </c>
      <c r="Y25" s="5">
        <v>15</v>
      </c>
      <c r="Z25" s="5">
        <v>50</v>
      </c>
      <c r="AA25" s="5">
        <f t="shared" ref="AA25:AA27" si="8">SUM(X25:Z25)</f>
        <v>100</v>
      </c>
    </row>
    <row r="26" spans="1:27" ht="87" x14ac:dyDescent="0.35">
      <c r="A26" s="24">
        <v>46100</v>
      </c>
      <c r="B26" s="24">
        <v>46073</v>
      </c>
      <c r="C26" s="7" t="s">
        <v>453</v>
      </c>
      <c r="D26" s="11" t="s">
        <v>454</v>
      </c>
      <c r="E26" s="11">
        <f t="shared" si="0"/>
        <v>1</v>
      </c>
      <c r="F26" s="7" t="s">
        <v>455</v>
      </c>
      <c r="G26" s="27">
        <v>13905954.460000001</v>
      </c>
      <c r="H26" s="9" t="s">
        <v>237</v>
      </c>
      <c r="I26" s="9" t="s">
        <v>320</v>
      </c>
      <c r="J26" s="9" t="s">
        <v>81</v>
      </c>
      <c r="K26" s="9" t="s">
        <v>82</v>
      </c>
      <c r="L26" s="9" t="s">
        <v>127</v>
      </c>
      <c r="N26" s="9" t="s">
        <v>15</v>
      </c>
      <c r="O26" s="9"/>
      <c r="P26" s="5" t="s">
        <v>403</v>
      </c>
      <c r="Q26" s="5" t="s">
        <v>436</v>
      </c>
      <c r="R26" s="9" t="s">
        <v>43</v>
      </c>
      <c r="S26" s="9" t="s">
        <v>405</v>
      </c>
      <c r="T26" s="9" t="s">
        <v>322</v>
      </c>
      <c r="U26" s="9"/>
      <c r="V26" s="9"/>
      <c r="W26" s="26">
        <v>0</v>
      </c>
      <c r="X26" s="5">
        <v>100</v>
      </c>
      <c r="AA26" s="5">
        <f t="shared" si="8"/>
        <v>100</v>
      </c>
    </row>
    <row r="27" spans="1:27" ht="87" x14ac:dyDescent="0.35">
      <c r="A27" s="24">
        <v>46100</v>
      </c>
      <c r="B27" s="24">
        <v>46073</v>
      </c>
      <c r="C27" s="7" t="s">
        <v>456</v>
      </c>
      <c r="D27" s="11" t="s">
        <v>457</v>
      </c>
      <c r="E27" s="11">
        <f t="shared" si="0"/>
        <v>1</v>
      </c>
      <c r="F27" s="7" t="s">
        <v>455</v>
      </c>
      <c r="G27" s="27">
        <v>12173425.210000001</v>
      </c>
      <c r="H27" s="9" t="s">
        <v>237</v>
      </c>
      <c r="I27" s="9" t="s">
        <v>320</v>
      </c>
      <c r="J27" s="9" t="s">
        <v>81</v>
      </c>
      <c r="K27" s="9" t="s">
        <v>82</v>
      </c>
      <c r="L27" s="9" t="s">
        <v>127</v>
      </c>
      <c r="N27" s="9" t="s">
        <v>15</v>
      </c>
      <c r="O27" s="9"/>
      <c r="P27" s="5" t="s">
        <v>403</v>
      </c>
      <c r="Q27" s="5" t="s">
        <v>458</v>
      </c>
      <c r="R27" s="9" t="s">
        <v>43</v>
      </c>
      <c r="S27" s="9" t="s">
        <v>405</v>
      </c>
      <c r="T27" s="9" t="s">
        <v>322</v>
      </c>
      <c r="U27" s="9"/>
      <c r="V27" s="9"/>
      <c r="W27" s="26">
        <v>0</v>
      </c>
      <c r="X27" s="5">
        <v>100</v>
      </c>
      <c r="AA27" s="5">
        <f t="shared" si="8"/>
        <v>100</v>
      </c>
    </row>
    <row r="28" spans="1:27" ht="87" x14ac:dyDescent="0.35">
      <c r="A28" s="24">
        <v>46100</v>
      </c>
      <c r="B28" s="24">
        <v>46073</v>
      </c>
      <c r="C28" s="7" t="s">
        <v>459</v>
      </c>
      <c r="D28" s="11" t="s">
        <v>460</v>
      </c>
      <c r="E28" s="11">
        <f t="shared" si="0"/>
        <v>1</v>
      </c>
      <c r="F28" s="7" t="s">
        <v>461</v>
      </c>
      <c r="G28" s="27">
        <v>6525545.8799999999</v>
      </c>
      <c r="H28" s="9" t="s">
        <v>237</v>
      </c>
      <c r="I28" s="9" t="s">
        <v>320</v>
      </c>
      <c r="J28" s="9" t="s">
        <v>81</v>
      </c>
      <c r="K28" s="9" t="s">
        <v>82</v>
      </c>
      <c r="L28" s="9" t="s">
        <v>127</v>
      </c>
      <c r="N28" s="9" t="s">
        <v>15</v>
      </c>
      <c r="O28" s="9"/>
      <c r="P28" s="5" t="s">
        <v>403</v>
      </c>
      <c r="Q28" s="5" t="s">
        <v>462</v>
      </c>
      <c r="R28" s="9" t="s">
        <v>43</v>
      </c>
      <c r="S28" s="9" t="s">
        <v>405</v>
      </c>
      <c r="T28" s="9" t="s">
        <v>322</v>
      </c>
      <c r="U28" s="9"/>
      <c r="V28" s="9"/>
      <c r="W28" s="26">
        <v>0</v>
      </c>
      <c r="X28" s="5">
        <v>100</v>
      </c>
      <c r="AA28" s="5">
        <f t="shared" ref="AA28:AA49" si="9">SUM(X28:Z28)</f>
        <v>100</v>
      </c>
    </row>
    <row r="29" spans="1:27" ht="43.5" x14ac:dyDescent="0.35">
      <c r="A29" s="24">
        <v>46100</v>
      </c>
      <c r="B29" s="24">
        <v>46100</v>
      </c>
      <c r="C29" s="7" t="s">
        <v>473</v>
      </c>
      <c r="D29" s="11" t="s">
        <v>474</v>
      </c>
      <c r="E29" s="11">
        <f t="shared" si="0"/>
        <v>1</v>
      </c>
      <c r="F29" s="7" t="s">
        <v>475</v>
      </c>
      <c r="G29" s="27">
        <v>1120600</v>
      </c>
      <c r="H29" s="9" t="s">
        <v>205</v>
      </c>
      <c r="I29" s="9" t="s">
        <v>320</v>
      </c>
      <c r="J29" s="9" t="s">
        <v>81</v>
      </c>
      <c r="K29" s="9" t="s">
        <v>82</v>
      </c>
      <c r="L29" s="9" t="s">
        <v>83</v>
      </c>
      <c r="N29" s="9" t="s">
        <v>42</v>
      </c>
      <c r="O29" s="9"/>
      <c r="P29" s="5" t="s">
        <v>476</v>
      </c>
      <c r="Q29" s="5" t="s">
        <v>477</v>
      </c>
      <c r="R29" s="9" t="s">
        <v>374</v>
      </c>
      <c r="S29" s="9" t="s">
        <v>405</v>
      </c>
      <c r="T29" s="9" t="s">
        <v>322</v>
      </c>
      <c r="U29" s="9">
        <v>8</v>
      </c>
      <c r="V29" s="9"/>
      <c r="W29" s="26">
        <v>-0.35</v>
      </c>
      <c r="X29" s="5">
        <v>60</v>
      </c>
      <c r="Y29" s="5">
        <v>40</v>
      </c>
      <c r="AA29" s="5">
        <f t="shared" si="9"/>
        <v>100</v>
      </c>
    </row>
    <row r="30" spans="1:27" ht="72.5" x14ac:dyDescent="0.35">
      <c r="A30" s="24">
        <v>46105</v>
      </c>
      <c r="B30" s="24">
        <v>46104</v>
      </c>
      <c r="C30" s="7" t="s">
        <v>478</v>
      </c>
      <c r="D30" s="11" t="s">
        <v>479</v>
      </c>
      <c r="E30" s="11">
        <f t="shared" si="0"/>
        <v>1</v>
      </c>
      <c r="F30" s="7" t="s">
        <v>480</v>
      </c>
      <c r="G30" s="27">
        <v>1089146.54</v>
      </c>
      <c r="H30" s="9" t="s">
        <v>240</v>
      </c>
      <c r="I30" s="9" t="s">
        <v>320</v>
      </c>
      <c r="J30" s="9" t="s">
        <v>81</v>
      </c>
      <c r="K30" s="9" t="s">
        <v>130</v>
      </c>
      <c r="L30" s="9" t="s">
        <v>131</v>
      </c>
      <c r="N30" s="9" t="s">
        <v>56</v>
      </c>
      <c r="O30" s="9"/>
      <c r="P30" s="5" t="s">
        <v>481</v>
      </c>
      <c r="Q30" s="5" t="s">
        <v>482</v>
      </c>
      <c r="R30" s="9" t="s">
        <v>343</v>
      </c>
      <c r="S30" s="9" t="s">
        <v>301</v>
      </c>
      <c r="T30" s="9" t="s">
        <v>322</v>
      </c>
      <c r="U30" s="9">
        <v>60</v>
      </c>
      <c r="V30" s="9"/>
      <c r="W30" s="26">
        <v>-8.0000000000000004E-4</v>
      </c>
      <c r="X30" s="5">
        <v>55</v>
      </c>
      <c r="Y30" s="5">
        <v>15</v>
      </c>
      <c r="Z30" s="5">
        <v>30</v>
      </c>
      <c r="AA30" s="5">
        <f t="shared" si="9"/>
        <v>100</v>
      </c>
    </row>
    <row r="31" spans="1:27" ht="72.5" x14ac:dyDescent="0.35">
      <c r="A31" s="24">
        <v>46107</v>
      </c>
      <c r="B31" s="24">
        <v>46099</v>
      </c>
      <c r="C31" s="7" t="s">
        <v>483</v>
      </c>
      <c r="D31" s="11" t="s">
        <v>484</v>
      </c>
      <c r="E31" s="11">
        <f t="shared" si="0"/>
        <v>1</v>
      </c>
      <c r="F31" s="7" t="s">
        <v>485</v>
      </c>
      <c r="G31" s="27">
        <v>1099987.53</v>
      </c>
      <c r="H31" s="9" t="s">
        <v>219</v>
      </c>
      <c r="I31" s="9" t="s">
        <v>320</v>
      </c>
      <c r="J31" s="9" t="s">
        <v>81</v>
      </c>
      <c r="K31" s="9" t="s">
        <v>82</v>
      </c>
      <c r="L31" s="9" t="s">
        <v>105</v>
      </c>
      <c r="N31" s="9" t="s">
        <v>56</v>
      </c>
      <c r="O31" s="9" t="s">
        <v>306</v>
      </c>
      <c r="P31" s="5" t="s">
        <v>486</v>
      </c>
      <c r="Q31" s="5" t="s">
        <v>487</v>
      </c>
      <c r="R31" s="9" t="s">
        <v>367</v>
      </c>
      <c r="S31" s="9" t="s">
        <v>427</v>
      </c>
      <c r="T31" s="9" t="s">
        <v>322</v>
      </c>
      <c r="U31" s="9"/>
      <c r="V31" s="9"/>
      <c r="W31" s="26">
        <v>0</v>
      </c>
      <c r="X31" s="5">
        <v>90</v>
      </c>
      <c r="Y31" s="5">
        <v>10</v>
      </c>
      <c r="AA31" s="5">
        <f t="shared" si="9"/>
        <v>100</v>
      </c>
    </row>
    <row r="32" spans="1:27" ht="43.5" x14ac:dyDescent="0.35">
      <c r="A32" s="24">
        <v>46112</v>
      </c>
      <c r="B32" s="24">
        <v>46111</v>
      </c>
      <c r="C32" s="7" t="s">
        <v>488</v>
      </c>
      <c r="D32" s="11" t="s">
        <v>489</v>
      </c>
      <c r="E32" s="11">
        <f t="shared" si="0"/>
        <v>1</v>
      </c>
      <c r="F32" s="7" t="s">
        <v>490</v>
      </c>
      <c r="G32" s="27">
        <v>2661539.7999999998</v>
      </c>
      <c r="H32" s="9" t="s">
        <v>240</v>
      </c>
      <c r="I32" s="9" t="s">
        <v>320</v>
      </c>
      <c r="J32" s="9" t="s">
        <v>81</v>
      </c>
      <c r="K32" s="9" t="s">
        <v>130</v>
      </c>
      <c r="L32" s="9" t="s">
        <v>131</v>
      </c>
      <c r="N32" s="9" t="s">
        <v>45</v>
      </c>
      <c r="O32" s="9" t="s">
        <v>491</v>
      </c>
      <c r="P32" s="5" t="s">
        <v>492</v>
      </c>
      <c r="Q32" s="5" t="s">
        <v>493</v>
      </c>
      <c r="R32" s="9" t="s">
        <v>343</v>
      </c>
      <c r="S32" s="9"/>
      <c r="T32" s="9" t="s">
        <v>322</v>
      </c>
      <c r="U32" s="9"/>
      <c r="V32" s="9"/>
      <c r="W32" s="26">
        <v>-0.45850000000000002</v>
      </c>
      <c r="X32" s="5">
        <v>100</v>
      </c>
      <c r="AA32" s="5">
        <f t="shared" si="9"/>
        <v>100</v>
      </c>
    </row>
    <row r="33" spans="1:27" ht="87" x14ac:dyDescent="0.35">
      <c r="A33" s="24">
        <v>46112</v>
      </c>
      <c r="B33" s="24">
        <v>46107</v>
      </c>
      <c r="C33" s="7" t="s">
        <v>494</v>
      </c>
      <c r="D33" s="11" t="s">
        <v>495</v>
      </c>
      <c r="E33" s="11">
        <f t="shared" si="0"/>
        <v>1</v>
      </c>
      <c r="F33" s="7" t="s">
        <v>496</v>
      </c>
      <c r="G33" s="27">
        <v>1375876</v>
      </c>
      <c r="H33" s="9" t="s">
        <v>211</v>
      </c>
      <c r="I33" s="9" t="s">
        <v>320</v>
      </c>
      <c r="J33" s="9" t="s">
        <v>81</v>
      </c>
      <c r="K33" s="9" t="s">
        <v>82</v>
      </c>
      <c r="L33" s="9" t="s">
        <v>94</v>
      </c>
      <c r="N33" s="9" t="s">
        <v>48</v>
      </c>
      <c r="O33" s="9" t="s">
        <v>347</v>
      </c>
      <c r="P33" s="5" t="s">
        <v>497</v>
      </c>
      <c r="Q33" s="5" t="s">
        <v>498</v>
      </c>
      <c r="R33" s="9" t="s">
        <v>329</v>
      </c>
      <c r="S33" s="9" t="s">
        <v>405</v>
      </c>
      <c r="T33" s="9" t="s">
        <v>322</v>
      </c>
      <c r="U33" s="9">
        <v>10</v>
      </c>
      <c r="V33" s="9"/>
      <c r="W33" s="26">
        <v>-0.443</v>
      </c>
      <c r="X33" s="5">
        <v>75</v>
      </c>
      <c r="Y33" s="5">
        <v>25</v>
      </c>
      <c r="AA33" s="5">
        <f t="shared" si="9"/>
        <v>100</v>
      </c>
    </row>
    <row r="34" spans="1:27" ht="43.5" x14ac:dyDescent="0.35">
      <c r="A34" s="24">
        <v>46121</v>
      </c>
      <c r="B34" s="24">
        <v>46119</v>
      </c>
      <c r="C34" s="7" t="s">
        <v>499</v>
      </c>
      <c r="D34" s="11" t="s">
        <v>500</v>
      </c>
      <c r="E34" s="11">
        <f t="shared" si="0"/>
        <v>1</v>
      </c>
      <c r="F34" s="7" t="s">
        <v>501</v>
      </c>
      <c r="G34" s="27">
        <v>1483740.32</v>
      </c>
      <c r="H34" s="9" t="s">
        <v>251</v>
      </c>
      <c r="I34" s="9" t="s">
        <v>320</v>
      </c>
      <c r="J34" s="9" t="s">
        <v>81</v>
      </c>
      <c r="K34" s="9" t="s">
        <v>142</v>
      </c>
      <c r="L34" s="9" t="s">
        <v>143</v>
      </c>
      <c r="N34" s="9" t="s">
        <v>56</v>
      </c>
      <c r="O34" s="9" t="s">
        <v>306</v>
      </c>
      <c r="P34" s="5" t="s">
        <v>502</v>
      </c>
      <c r="Q34" s="5" t="s">
        <v>334</v>
      </c>
      <c r="R34" s="9" t="s">
        <v>343</v>
      </c>
      <c r="S34" s="9" t="s">
        <v>301</v>
      </c>
      <c r="T34" s="9" t="s">
        <v>322</v>
      </c>
      <c r="U34" s="9">
        <v>60</v>
      </c>
      <c r="V34" s="9"/>
      <c r="W34" s="26">
        <v>-4.4699999999999997E-2</v>
      </c>
      <c r="X34" s="5">
        <v>35</v>
      </c>
      <c r="Y34" s="5">
        <v>50</v>
      </c>
      <c r="Z34" s="5">
        <v>15</v>
      </c>
      <c r="AA34" s="5">
        <f t="shared" si="9"/>
        <v>100</v>
      </c>
    </row>
    <row r="35" spans="1:27" ht="87" x14ac:dyDescent="0.35">
      <c r="A35" s="24">
        <v>46127</v>
      </c>
      <c r="B35" s="24">
        <v>46108</v>
      </c>
      <c r="C35" s="7" t="s">
        <v>503</v>
      </c>
      <c r="D35" s="11" t="s">
        <v>504</v>
      </c>
      <c r="E35" s="11">
        <f t="shared" si="0"/>
        <v>1</v>
      </c>
      <c r="F35" s="7" t="s">
        <v>505</v>
      </c>
      <c r="G35" s="27">
        <v>2153762.23</v>
      </c>
      <c r="H35" s="9" t="s">
        <v>266</v>
      </c>
      <c r="I35" s="9" t="s">
        <v>320</v>
      </c>
      <c r="J35" s="9" t="s">
        <v>81</v>
      </c>
      <c r="K35" s="9" t="s">
        <v>90</v>
      </c>
      <c r="L35" s="9" t="s">
        <v>159</v>
      </c>
      <c r="N35" s="9" t="s">
        <v>56</v>
      </c>
      <c r="O35" s="9" t="s">
        <v>306</v>
      </c>
      <c r="P35" s="5" t="s">
        <v>506</v>
      </c>
      <c r="Q35" s="5" t="s">
        <v>507</v>
      </c>
      <c r="R35" s="9" t="s">
        <v>43</v>
      </c>
      <c r="S35" s="9" t="s">
        <v>368</v>
      </c>
      <c r="T35" s="9" t="s">
        <v>322</v>
      </c>
      <c r="U35" s="9">
        <v>6</v>
      </c>
      <c r="V35" s="9"/>
      <c r="W35" s="26">
        <v>-2.8999999999999998E-3</v>
      </c>
      <c r="X35" s="5">
        <v>85</v>
      </c>
      <c r="Y35" s="5">
        <v>15</v>
      </c>
      <c r="AA35" s="5">
        <f t="shared" si="9"/>
        <v>100</v>
      </c>
    </row>
    <row r="36" spans="1:27" ht="72.5" x14ac:dyDescent="0.35">
      <c r="A36" s="24">
        <v>46127</v>
      </c>
      <c r="B36" s="24">
        <v>46108</v>
      </c>
      <c r="C36" s="7" t="s">
        <v>508</v>
      </c>
      <c r="D36" s="11" t="s">
        <v>509</v>
      </c>
      <c r="E36" s="11">
        <f t="shared" si="0"/>
        <v>1</v>
      </c>
      <c r="F36" s="7" t="s">
        <v>510</v>
      </c>
      <c r="G36" s="27">
        <v>1922677.85</v>
      </c>
      <c r="H36" s="9" t="s">
        <v>236</v>
      </c>
      <c r="I36" s="9" t="s">
        <v>320</v>
      </c>
      <c r="J36" s="9" t="s">
        <v>81</v>
      </c>
      <c r="K36" s="9" t="s">
        <v>125</v>
      </c>
      <c r="L36" s="9" t="s">
        <v>126</v>
      </c>
      <c r="N36" s="9" t="s">
        <v>56</v>
      </c>
      <c r="O36" s="9" t="s">
        <v>306</v>
      </c>
      <c r="P36" s="5" t="s">
        <v>506</v>
      </c>
      <c r="Q36" s="5" t="s">
        <v>334</v>
      </c>
      <c r="R36" s="9" t="s">
        <v>43</v>
      </c>
      <c r="S36" s="9" t="s">
        <v>368</v>
      </c>
      <c r="T36" s="9" t="s">
        <v>322</v>
      </c>
      <c r="U36" s="9">
        <v>9</v>
      </c>
      <c r="V36" s="9"/>
      <c r="W36" s="26">
        <v>-0.15659999999999999</v>
      </c>
      <c r="X36" s="5">
        <v>50</v>
      </c>
      <c r="Z36" s="5">
        <v>50</v>
      </c>
      <c r="AA36" s="5">
        <f t="shared" si="9"/>
        <v>100</v>
      </c>
    </row>
    <row r="37" spans="1:27" ht="116" x14ac:dyDescent="0.35">
      <c r="A37" s="24">
        <v>46133</v>
      </c>
      <c r="B37" s="24">
        <v>46111</v>
      </c>
      <c r="C37" s="7" t="s">
        <v>511</v>
      </c>
      <c r="D37" s="11" t="s">
        <v>512</v>
      </c>
      <c r="E37" s="11">
        <f t="shared" si="0"/>
        <v>1</v>
      </c>
      <c r="F37" s="7" t="s">
        <v>513</v>
      </c>
      <c r="G37" s="27">
        <v>2234513.64</v>
      </c>
      <c r="H37" s="9" t="s">
        <v>286</v>
      </c>
      <c r="I37" s="9" t="s">
        <v>320</v>
      </c>
      <c r="J37" s="9" t="s">
        <v>81</v>
      </c>
      <c r="K37" s="9" t="s">
        <v>96</v>
      </c>
      <c r="L37" s="9" t="s">
        <v>182</v>
      </c>
      <c r="N37" s="9" t="s">
        <v>15</v>
      </c>
      <c r="O37" s="9"/>
      <c r="P37" s="5" t="s">
        <v>403</v>
      </c>
      <c r="Q37" s="5" t="s">
        <v>514</v>
      </c>
      <c r="R37" s="9" t="s">
        <v>43</v>
      </c>
      <c r="S37" s="9" t="s">
        <v>405</v>
      </c>
      <c r="T37" s="9" t="s">
        <v>322</v>
      </c>
      <c r="U37" s="9">
        <v>9</v>
      </c>
      <c r="V37" s="9"/>
      <c r="W37" s="26">
        <v>-0.1147</v>
      </c>
      <c r="X37" s="5">
        <v>17</v>
      </c>
      <c r="Y37" s="5">
        <v>34</v>
      </c>
      <c r="Z37" s="5">
        <v>49</v>
      </c>
      <c r="AA37" s="5">
        <f t="shared" si="9"/>
        <v>100</v>
      </c>
    </row>
    <row r="38" spans="1:27" ht="58" x14ac:dyDescent="0.35">
      <c r="A38" s="24">
        <v>46135</v>
      </c>
      <c r="B38" s="24">
        <v>46133</v>
      </c>
      <c r="C38" s="7" t="s">
        <v>515</v>
      </c>
      <c r="D38" s="11" t="s">
        <v>516</v>
      </c>
      <c r="E38" s="11">
        <f t="shared" si="0"/>
        <v>1</v>
      </c>
      <c r="F38" s="7" t="s">
        <v>346</v>
      </c>
      <c r="G38" s="27">
        <v>6700000</v>
      </c>
      <c r="H38" s="9" t="s">
        <v>219</v>
      </c>
      <c r="I38" s="9" t="s">
        <v>320</v>
      </c>
      <c r="J38" s="9" t="s">
        <v>81</v>
      </c>
      <c r="K38" s="9" t="s">
        <v>82</v>
      </c>
      <c r="L38" s="9" t="s">
        <v>105</v>
      </c>
      <c r="N38" s="9"/>
      <c r="O38" s="9"/>
      <c r="P38" s="5" t="s">
        <v>517</v>
      </c>
      <c r="Q38" s="5" t="s">
        <v>518</v>
      </c>
      <c r="R38" s="9" t="s">
        <v>329</v>
      </c>
      <c r="S38" s="9" t="s">
        <v>410</v>
      </c>
      <c r="T38" s="9" t="s">
        <v>17</v>
      </c>
      <c r="U38" s="9">
        <v>36</v>
      </c>
      <c r="V38" s="9"/>
      <c r="W38" s="26">
        <v>0</v>
      </c>
      <c r="X38" s="5">
        <v>40</v>
      </c>
      <c r="Y38" s="5">
        <v>10</v>
      </c>
      <c r="Z38" s="5">
        <v>50</v>
      </c>
      <c r="AA38" s="5">
        <f t="shared" si="9"/>
        <v>100</v>
      </c>
    </row>
    <row r="39" spans="1:27" ht="43.5" x14ac:dyDescent="0.35">
      <c r="A39" s="24">
        <v>46135</v>
      </c>
      <c r="B39" s="24">
        <v>46125</v>
      </c>
      <c r="C39" s="7" t="s">
        <v>519</v>
      </c>
      <c r="D39" s="11" t="s">
        <v>520</v>
      </c>
      <c r="E39" s="11">
        <f t="shared" si="0"/>
        <v>1</v>
      </c>
      <c r="F39" s="7" t="s">
        <v>521</v>
      </c>
      <c r="G39" s="27">
        <v>2478000</v>
      </c>
      <c r="H39" s="9" t="s">
        <v>230</v>
      </c>
      <c r="I39" s="9" t="s">
        <v>320</v>
      </c>
      <c r="J39" s="9" t="s">
        <v>81</v>
      </c>
      <c r="K39" s="9" t="s">
        <v>116</v>
      </c>
      <c r="L39" s="9" t="s">
        <v>117</v>
      </c>
      <c r="N39" s="9" t="s">
        <v>59</v>
      </c>
      <c r="O39" s="9" t="s">
        <v>522</v>
      </c>
      <c r="P39" s="5" t="s">
        <v>523</v>
      </c>
      <c r="Q39" s="5" t="s">
        <v>524</v>
      </c>
      <c r="R39" s="9" t="s">
        <v>367</v>
      </c>
      <c r="S39" s="9" t="s">
        <v>410</v>
      </c>
      <c r="T39" s="9" t="s">
        <v>322</v>
      </c>
      <c r="U39" s="9">
        <v>13</v>
      </c>
      <c r="V39" s="9"/>
      <c r="W39" s="26">
        <v>-8.0000000000000004E-4</v>
      </c>
      <c r="X39" s="5">
        <v>15</v>
      </c>
      <c r="Y39" s="5">
        <v>35</v>
      </c>
      <c r="Z39" s="5">
        <v>50</v>
      </c>
      <c r="AA39" s="5">
        <f t="shared" si="9"/>
        <v>100</v>
      </c>
    </row>
    <row r="40" spans="1:27" ht="43.5" x14ac:dyDescent="0.35">
      <c r="A40" s="24">
        <v>46140</v>
      </c>
      <c r="B40" s="24">
        <v>46140</v>
      </c>
      <c r="C40" s="7" t="s">
        <v>525</v>
      </c>
      <c r="D40" s="11" t="s">
        <v>526</v>
      </c>
      <c r="E40" s="11">
        <f t="shared" si="0"/>
        <v>1</v>
      </c>
      <c r="F40" s="7" t="s">
        <v>527</v>
      </c>
      <c r="G40" s="27">
        <v>1032363.26</v>
      </c>
      <c r="H40" s="9" t="s">
        <v>251</v>
      </c>
      <c r="I40" s="9" t="s">
        <v>320</v>
      </c>
      <c r="J40" s="9" t="s">
        <v>81</v>
      </c>
      <c r="K40" s="9" t="s">
        <v>142</v>
      </c>
      <c r="L40" s="9" t="s">
        <v>143</v>
      </c>
      <c r="N40" s="9" t="s">
        <v>56</v>
      </c>
      <c r="O40" s="9" t="s">
        <v>306</v>
      </c>
      <c r="P40" s="5" t="s">
        <v>528</v>
      </c>
      <c r="Q40" s="5" t="s">
        <v>529</v>
      </c>
      <c r="R40" s="9" t="s">
        <v>46</v>
      </c>
      <c r="S40" s="9" t="s">
        <v>356</v>
      </c>
      <c r="T40" s="9" t="s">
        <v>322</v>
      </c>
      <c r="U40" s="9">
        <v>60</v>
      </c>
      <c r="V40" s="9"/>
      <c r="W40" s="26">
        <v>-3.2199999999999999E-2</v>
      </c>
      <c r="X40" s="5">
        <v>60</v>
      </c>
      <c r="Y40" s="5">
        <v>10</v>
      </c>
      <c r="Z40" s="5">
        <v>30</v>
      </c>
      <c r="AA40" s="5">
        <f t="shared" si="9"/>
        <v>100</v>
      </c>
    </row>
    <row r="41" spans="1:27" ht="43.5" x14ac:dyDescent="0.35">
      <c r="A41" s="24">
        <v>46142</v>
      </c>
      <c r="B41" s="24">
        <v>46139</v>
      </c>
      <c r="C41" s="7" t="s">
        <v>530</v>
      </c>
      <c r="D41" s="11" t="s">
        <v>531</v>
      </c>
      <c r="E41" s="11">
        <f t="shared" si="0"/>
        <v>1</v>
      </c>
      <c r="F41" s="7" t="s">
        <v>532</v>
      </c>
      <c r="G41" s="27">
        <v>4996580</v>
      </c>
      <c r="H41" s="9" t="s">
        <v>240</v>
      </c>
      <c r="I41" s="9" t="s">
        <v>320</v>
      </c>
      <c r="J41" s="9" t="s">
        <v>81</v>
      </c>
      <c r="K41" s="9" t="s">
        <v>130</v>
      </c>
      <c r="L41" s="9" t="s">
        <v>131</v>
      </c>
      <c r="N41" s="9" t="s">
        <v>56</v>
      </c>
      <c r="O41" s="9" t="s">
        <v>306</v>
      </c>
      <c r="P41" s="5" t="s">
        <v>533</v>
      </c>
      <c r="Q41" s="5" t="s">
        <v>534</v>
      </c>
      <c r="R41" s="9" t="s">
        <v>49</v>
      </c>
      <c r="S41" s="9" t="s">
        <v>363</v>
      </c>
      <c r="T41" s="9" t="s">
        <v>322</v>
      </c>
      <c r="U41" s="9">
        <v>18</v>
      </c>
      <c r="V41" s="9"/>
      <c r="W41" s="26">
        <v>-0.18090000000000001</v>
      </c>
      <c r="X41" s="5">
        <v>100</v>
      </c>
      <c r="AA41" s="5">
        <f t="shared" si="9"/>
        <v>100</v>
      </c>
    </row>
    <row r="42" spans="1:27" ht="43.5" x14ac:dyDescent="0.35">
      <c r="A42" s="24">
        <v>46142</v>
      </c>
      <c r="B42" s="24">
        <v>46141</v>
      </c>
      <c r="C42" s="7" t="s">
        <v>535</v>
      </c>
      <c r="D42" s="11" t="s">
        <v>536</v>
      </c>
      <c r="E42" s="11">
        <f t="shared" si="0"/>
        <v>1</v>
      </c>
      <c r="F42" s="7" t="s">
        <v>537</v>
      </c>
      <c r="G42" s="27">
        <v>2027368.86</v>
      </c>
      <c r="H42" s="9" t="s">
        <v>240</v>
      </c>
      <c r="I42" s="9" t="s">
        <v>320</v>
      </c>
      <c r="J42" s="9" t="s">
        <v>81</v>
      </c>
      <c r="K42" s="9" t="s">
        <v>130</v>
      </c>
      <c r="L42" s="9" t="s">
        <v>131</v>
      </c>
      <c r="N42" s="9"/>
      <c r="O42" s="9"/>
      <c r="P42" s="5" t="s">
        <v>538</v>
      </c>
      <c r="Q42" s="5" t="s">
        <v>416</v>
      </c>
      <c r="R42" s="9" t="s">
        <v>49</v>
      </c>
      <c r="S42" s="9" t="s">
        <v>363</v>
      </c>
      <c r="T42" s="9" t="s">
        <v>322</v>
      </c>
      <c r="U42" s="9">
        <v>6</v>
      </c>
      <c r="V42" s="9"/>
      <c r="W42" s="26">
        <v>-0.28799999999999998</v>
      </c>
      <c r="X42" s="5">
        <v>65</v>
      </c>
      <c r="Y42" s="5">
        <v>20</v>
      </c>
      <c r="Z42" s="5">
        <v>15</v>
      </c>
      <c r="AA42" s="5">
        <f t="shared" si="9"/>
        <v>100</v>
      </c>
    </row>
    <row r="43" spans="1:27" ht="87" x14ac:dyDescent="0.35">
      <c r="A43" s="24">
        <v>46142</v>
      </c>
      <c r="B43" s="24">
        <v>46136</v>
      </c>
      <c r="C43" s="7" t="s">
        <v>539</v>
      </c>
      <c r="D43" s="11" t="s">
        <v>540</v>
      </c>
      <c r="E43" s="11">
        <f t="shared" si="0"/>
        <v>1</v>
      </c>
      <c r="F43" s="7" t="s">
        <v>541</v>
      </c>
      <c r="G43" s="27">
        <v>1949001.63</v>
      </c>
      <c r="H43" s="9" t="s">
        <v>241</v>
      </c>
      <c r="I43" s="9" t="s">
        <v>320</v>
      </c>
      <c r="J43" s="9" t="s">
        <v>81</v>
      </c>
      <c r="K43" s="9" t="s">
        <v>96</v>
      </c>
      <c r="L43" s="9" t="s">
        <v>132</v>
      </c>
      <c r="N43" s="9" t="s">
        <v>25</v>
      </c>
      <c r="O43" s="9"/>
      <c r="P43" s="5" t="s">
        <v>542</v>
      </c>
      <c r="Q43" s="5" t="s">
        <v>543</v>
      </c>
      <c r="R43" s="9" t="s">
        <v>367</v>
      </c>
      <c r="S43" s="9" t="s">
        <v>368</v>
      </c>
      <c r="T43" s="9" t="s">
        <v>322</v>
      </c>
      <c r="U43" s="9">
        <v>33</v>
      </c>
      <c r="V43" s="9"/>
      <c r="W43" s="26">
        <v>-0.25750000000000001</v>
      </c>
      <c r="X43" s="5">
        <v>26</v>
      </c>
      <c r="Y43" s="5">
        <v>25</v>
      </c>
      <c r="Z43" s="5">
        <v>49</v>
      </c>
      <c r="AA43" s="5">
        <f t="shared" si="9"/>
        <v>100</v>
      </c>
    </row>
    <row r="44" spans="1:27" ht="43.5" x14ac:dyDescent="0.35">
      <c r="A44" s="24">
        <v>46142</v>
      </c>
      <c r="B44" s="24">
        <v>46127</v>
      </c>
      <c r="C44" s="7" t="s">
        <v>544</v>
      </c>
      <c r="D44" s="11" t="s">
        <v>545</v>
      </c>
      <c r="E44" s="11">
        <f t="shared" si="0"/>
        <v>1</v>
      </c>
      <c r="F44" s="7" t="s">
        <v>546</v>
      </c>
      <c r="G44" s="27">
        <v>969919.36</v>
      </c>
      <c r="H44" s="9" t="s">
        <v>205</v>
      </c>
      <c r="I44" s="9" t="s">
        <v>320</v>
      </c>
      <c r="J44" s="9" t="s">
        <v>81</v>
      </c>
      <c r="K44" s="9" t="s">
        <v>82</v>
      </c>
      <c r="L44" s="9" t="s">
        <v>83</v>
      </c>
      <c r="N44" s="9" t="s">
        <v>54</v>
      </c>
      <c r="O44" s="9"/>
      <c r="P44" s="5" t="s">
        <v>547</v>
      </c>
      <c r="Q44" s="5" t="s">
        <v>548</v>
      </c>
      <c r="R44" s="9" t="s">
        <v>374</v>
      </c>
      <c r="S44" s="9" t="s">
        <v>549</v>
      </c>
      <c r="T44" s="9" t="s">
        <v>322</v>
      </c>
      <c r="U44" s="9">
        <v>48</v>
      </c>
      <c r="V44" s="9"/>
      <c r="W44" s="26">
        <v>-0.46600000000000003</v>
      </c>
      <c r="X44" s="5">
        <v>70</v>
      </c>
      <c r="Y44" s="5">
        <v>30</v>
      </c>
      <c r="AA44" s="5">
        <f t="shared" si="9"/>
        <v>100</v>
      </c>
    </row>
    <row r="45" spans="1:27" ht="87" x14ac:dyDescent="0.35">
      <c r="A45" s="24">
        <v>46149</v>
      </c>
      <c r="B45" s="24">
        <v>46147</v>
      </c>
      <c r="C45" s="7" t="s">
        <v>551</v>
      </c>
      <c r="D45" s="11" t="s">
        <v>552</v>
      </c>
      <c r="E45" s="11">
        <f t="shared" si="0"/>
        <v>1</v>
      </c>
      <c r="F45" s="7" t="s">
        <v>553</v>
      </c>
      <c r="G45" s="27">
        <v>5637415</v>
      </c>
      <c r="H45" s="9" t="s">
        <v>219</v>
      </c>
      <c r="I45" s="9" t="s">
        <v>320</v>
      </c>
      <c r="J45" s="9" t="s">
        <v>81</v>
      </c>
      <c r="K45" s="9" t="s">
        <v>82</v>
      </c>
      <c r="L45" s="9" t="s">
        <v>105</v>
      </c>
      <c r="N45" s="9" t="s">
        <v>56</v>
      </c>
      <c r="O45" s="9" t="s">
        <v>306</v>
      </c>
      <c r="P45" s="5" t="s">
        <v>554</v>
      </c>
      <c r="Q45" s="5" t="s">
        <v>555</v>
      </c>
      <c r="R45" s="9" t="s">
        <v>43</v>
      </c>
      <c r="S45" s="9" t="s">
        <v>427</v>
      </c>
      <c r="T45" s="9" t="s">
        <v>17</v>
      </c>
      <c r="U45" s="9">
        <v>12</v>
      </c>
      <c r="V45" s="9">
        <v>12</v>
      </c>
      <c r="W45" s="26">
        <v>-0.66669999999999996</v>
      </c>
      <c r="X45" s="5">
        <v>75</v>
      </c>
      <c r="Z45" s="5">
        <v>25</v>
      </c>
      <c r="AA45" s="5">
        <f t="shared" si="9"/>
        <v>100</v>
      </c>
    </row>
    <row r="46" spans="1:27" ht="43.5" x14ac:dyDescent="0.35">
      <c r="A46" s="24">
        <v>46149</v>
      </c>
      <c r="B46" s="24">
        <v>46147</v>
      </c>
      <c r="C46" s="7" t="s">
        <v>556</v>
      </c>
      <c r="D46" s="11" t="s">
        <v>557</v>
      </c>
      <c r="E46" s="11">
        <f t="shared" si="0"/>
        <v>1</v>
      </c>
      <c r="F46" s="7" t="s">
        <v>558</v>
      </c>
      <c r="G46" s="27">
        <v>2324743.92</v>
      </c>
      <c r="H46" s="9" t="s">
        <v>219</v>
      </c>
      <c r="I46" s="9" t="s">
        <v>320</v>
      </c>
      <c r="J46" s="9" t="s">
        <v>81</v>
      </c>
      <c r="K46" s="9" t="s">
        <v>82</v>
      </c>
      <c r="L46" s="9" t="s">
        <v>105</v>
      </c>
      <c r="N46" s="9"/>
      <c r="O46" s="9"/>
      <c r="P46" s="5" t="s">
        <v>559</v>
      </c>
      <c r="Q46" s="5" t="s">
        <v>560</v>
      </c>
      <c r="R46" s="9" t="s">
        <v>26</v>
      </c>
      <c r="S46" s="9"/>
      <c r="T46" s="9" t="s">
        <v>36</v>
      </c>
      <c r="U46" s="9">
        <v>24</v>
      </c>
      <c r="V46" s="9"/>
      <c r="W46" s="26">
        <v>0</v>
      </c>
      <c r="X46" s="5">
        <v>100</v>
      </c>
      <c r="AA46" s="5">
        <f t="shared" si="9"/>
        <v>100</v>
      </c>
    </row>
    <row r="47" spans="1:27" ht="29" x14ac:dyDescent="0.35">
      <c r="A47" s="24">
        <v>46149</v>
      </c>
      <c r="B47" s="24">
        <v>46136</v>
      </c>
      <c r="C47" s="7" t="s">
        <v>561</v>
      </c>
      <c r="D47" s="11" t="s">
        <v>562</v>
      </c>
      <c r="E47" s="11">
        <f t="shared" si="0"/>
        <v>1</v>
      </c>
      <c r="F47" s="7" t="s">
        <v>563</v>
      </c>
      <c r="G47" s="27">
        <v>1000000</v>
      </c>
      <c r="H47" s="9" t="s">
        <v>213</v>
      </c>
      <c r="I47" s="9" t="s">
        <v>320</v>
      </c>
      <c r="J47" s="9" t="s">
        <v>81</v>
      </c>
      <c r="K47" s="9" t="s">
        <v>96</v>
      </c>
      <c r="L47" s="9" t="s">
        <v>97</v>
      </c>
      <c r="N47" s="9" t="s">
        <v>56</v>
      </c>
      <c r="O47" s="9" t="s">
        <v>306</v>
      </c>
      <c r="P47" s="5" t="s">
        <v>564</v>
      </c>
      <c r="Q47" s="5" t="s">
        <v>565</v>
      </c>
      <c r="R47" s="9" t="s">
        <v>49</v>
      </c>
      <c r="S47" s="9"/>
      <c r="T47" s="9" t="s">
        <v>322</v>
      </c>
      <c r="U47" s="9"/>
      <c r="V47" s="9"/>
      <c r="W47" s="26">
        <v>0</v>
      </c>
      <c r="X47" s="5">
        <v>100</v>
      </c>
      <c r="AA47" s="5">
        <f t="shared" si="9"/>
        <v>100</v>
      </c>
    </row>
    <row r="48" spans="1:27" ht="58" x14ac:dyDescent="0.35">
      <c r="A48" s="24">
        <v>46153</v>
      </c>
      <c r="B48" s="24">
        <v>46128</v>
      </c>
      <c r="C48" s="7" t="s">
        <v>566</v>
      </c>
      <c r="D48" s="11" t="s">
        <v>567</v>
      </c>
      <c r="E48" s="11">
        <f t="shared" si="0"/>
        <v>1</v>
      </c>
      <c r="F48" s="7" t="s">
        <v>346</v>
      </c>
      <c r="G48" s="27">
        <v>1330605.69</v>
      </c>
      <c r="H48" s="9" t="s">
        <v>219</v>
      </c>
      <c r="I48" s="9" t="s">
        <v>320</v>
      </c>
      <c r="J48" s="9" t="s">
        <v>81</v>
      </c>
      <c r="K48" s="9" t="s">
        <v>82</v>
      </c>
      <c r="L48" s="9" t="s">
        <v>105</v>
      </c>
      <c r="N48" s="9" t="s">
        <v>53</v>
      </c>
      <c r="O48" s="9"/>
      <c r="P48" s="5" t="s">
        <v>568</v>
      </c>
      <c r="Q48" s="5" t="s">
        <v>436</v>
      </c>
      <c r="R48" s="9" t="s">
        <v>367</v>
      </c>
      <c r="S48" s="9" t="s">
        <v>410</v>
      </c>
      <c r="T48" s="9" t="s">
        <v>52</v>
      </c>
      <c r="U48" s="9">
        <v>3</v>
      </c>
      <c r="V48" s="9"/>
      <c r="W48" s="26">
        <v>0.26989999999999997</v>
      </c>
    </row>
    <row r="49" spans="1:27" ht="43.5" x14ac:dyDescent="0.35">
      <c r="A49" s="24">
        <v>46156</v>
      </c>
      <c r="B49" s="24">
        <v>46155</v>
      </c>
      <c r="C49" s="7" t="s">
        <v>569</v>
      </c>
      <c r="D49" s="11">
        <v>6012600022</v>
      </c>
      <c r="E49" s="11">
        <f t="shared" si="0"/>
        <v>1</v>
      </c>
      <c r="F49" s="7" t="s">
        <v>570</v>
      </c>
      <c r="G49" s="27">
        <v>1765000</v>
      </c>
      <c r="H49" s="9" t="s">
        <v>230</v>
      </c>
      <c r="I49" s="9" t="s">
        <v>320</v>
      </c>
      <c r="J49" s="9" t="s">
        <v>81</v>
      </c>
      <c r="K49" s="9" t="s">
        <v>116</v>
      </c>
      <c r="L49" s="9" t="s">
        <v>117</v>
      </c>
      <c r="N49" s="9" t="s">
        <v>56</v>
      </c>
      <c r="O49" s="9"/>
      <c r="P49" s="5" t="s">
        <v>571</v>
      </c>
      <c r="Q49" s="5" t="s">
        <v>572</v>
      </c>
      <c r="R49" s="9" t="s">
        <v>49</v>
      </c>
      <c r="S49" s="9" t="s">
        <v>363</v>
      </c>
      <c r="T49" s="9" t="s">
        <v>322</v>
      </c>
      <c r="U49" s="9">
        <v>24</v>
      </c>
      <c r="V49" s="9"/>
      <c r="W49" s="26">
        <v>-0.1069</v>
      </c>
      <c r="X49" s="5">
        <v>50</v>
      </c>
      <c r="Y49" s="5">
        <v>50</v>
      </c>
      <c r="AA49" s="5">
        <f t="shared" si="9"/>
        <v>100</v>
      </c>
    </row>
    <row r="50" spans="1:27" x14ac:dyDescent="0.35">
      <c r="A50" s="24"/>
      <c r="B50" s="24"/>
      <c r="F50" s="7"/>
      <c r="G50" s="27"/>
      <c r="H50" s="9"/>
      <c r="I50" s="9"/>
      <c r="J50" s="9"/>
      <c r="K50" s="9"/>
      <c r="L50" s="9"/>
      <c r="N50" s="9"/>
      <c r="O50" s="9"/>
      <c r="R50" s="9"/>
      <c r="S50" s="9"/>
      <c r="T50" s="9"/>
      <c r="U50" s="9"/>
      <c r="V50" s="9"/>
    </row>
  </sheetData>
  <autoFilter ref="A1:AA28" xr:uid="{73CFC59C-71F3-446E-9690-04D61CA97BC4}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C65186AB-9062-4284-AB73-53D0B146A2F3}">
          <x14:formula1>
            <xm:f>'Lista opciones'!$A$2:$A$8</xm:f>
          </x14:formula1>
          <xm:sqref>M2:M7</xm:sqref>
        </x14:dataValidation>
        <x14:dataValidation type="list" allowBlank="1" showInputMessage="1" showErrorMessage="1" xr:uid="{E6D3625F-3818-4411-8C15-E5AE777635B4}">
          <x14:formula1>
            <xm:f>'Lista opciones'!$G$2:$G$13</xm:f>
          </x14:formula1>
          <xm:sqref>T2:T12 T14:T50</xm:sqref>
        </x14:dataValidation>
        <x14:dataValidation type="list" allowBlank="1" showInputMessage="1" showErrorMessage="1" xr:uid="{CF4FD1E8-FD2A-44BE-BA27-9890407C433E}">
          <x14:formula1>
            <xm:f>'Lista opciones'!$E$2:$E$12</xm:f>
          </x14:formula1>
          <xm:sqref>R2:R4</xm:sqref>
        </x14:dataValidation>
        <x14:dataValidation type="list" allowBlank="1" showInputMessage="1" showErrorMessage="1" xr:uid="{59D9824D-7C81-4D41-BB18-D81DF82206C8}">
          <x14:formula1>
            <xm:f>'Lista opciones'!$E$2:$E$13</xm:f>
          </x14:formula1>
          <xm:sqref>R5:R8</xm:sqref>
        </x14:dataValidation>
        <x14:dataValidation type="list" allowBlank="1" showInputMessage="1" showErrorMessage="1" xr:uid="{4FD87875-D215-4617-B627-13175E7C5515}">
          <x14:formula1>
            <xm:f>'Lista opciones'!$E$2:$E$14</xm:f>
          </x14:formula1>
          <xm:sqref>R9</xm:sqref>
        </x14:dataValidation>
        <x14:dataValidation type="list" allowBlank="1" showInputMessage="1" showErrorMessage="1" xr:uid="{0BDC1CD6-3CE6-4025-86B7-5D494D374970}">
          <x14:formula1>
            <xm:f>'Lista opciones'!$E$2:$E$15</xm:f>
          </x14:formula1>
          <xm:sqref>R10:R23</xm:sqref>
        </x14:dataValidation>
        <x14:dataValidation type="list" allowBlank="1" showInputMessage="1" showErrorMessage="1" xr:uid="{05370E1F-F3B5-4FF7-B779-2228A0D6258C}">
          <x14:formula1>
            <xm:f>'Lista opciones'!$C$2:$C$20</xm:f>
          </x14:formula1>
          <xm:sqref>N2:N50</xm:sqref>
        </x14:dataValidation>
        <x14:dataValidation type="list" allowBlank="1" showInputMessage="1" showErrorMessage="1" xr:uid="{6C716DA6-DADC-4E57-82D1-4F36D6FA6649}">
          <x14:formula1>
            <xm:f>'Lista opciones'!$K$2:$K$104</xm:f>
          </x14:formula1>
          <xm:sqref>H2:H50</xm:sqref>
        </x14:dataValidation>
        <x14:dataValidation type="list" allowBlank="1" showInputMessage="1" showErrorMessage="1" xr:uid="{E7F81181-7B01-4291-81AD-B1D63522268F}">
          <x14:formula1>
            <xm:f>'Lista opciones'!$M$2:$M$5</xm:f>
          </x14:formula1>
          <xm:sqref>J2:J50</xm:sqref>
        </x14:dataValidation>
        <x14:dataValidation type="list" allowBlank="1" showInputMessage="1" showErrorMessage="1" xr:uid="{7476D78C-5069-4B8C-BEC3-73F13839E51E}">
          <x14:formula1>
            <xm:f>'Lista opciones'!$O$2:$O$25</xm:f>
          </x14:formula1>
          <xm:sqref>K2:K50</xm:sqref>
        </x14:dataValidation>
        <x14:dataValidation type="list" allowBlank="1" showInputMessage="1" showErrorMessage="1" xr:uid="{7E5EE934-E248-49E8-8081-7DF5A01588A9}">
          <x14:formula1>
            <xm:f>'Lista opciones'!$Q$2:$Q$104</xm:f>
          </x14:formula1>
          <xm:sqref>L2:L50</xm:sqref>
        </x14:dataValidation>
        <x14:dataValidation type="list" allowBlank="1" showInputMessage="1" showErrorMessage="1" xr:uid="{C48792B4-8558-4DF7-9E3B-159F386CAFA2}">
          <x14:formula1>
            <xm:f>'Lista opciones'!$E$2:$E$16</xm:f>
          </x14:formula1>
          <xm:sqref>R24:R50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5D7B-C802-4555-A882-80DE6C79BD35}">
  <dimension ref="A1:Q104"/>
  <sheetViews>
    <sheetView zoomScale="90" zoomScaleNormal="90" workbookViewId="0">
      <selection activeCell="E7" sqref="E7"/>
    </sheetView>
  </sheetViews>
  <sheetFormatPr baseColWidth="10" defaultRowHeight="14.5" x14ac:dyDescent="0.35"/>
  <cols>
    <col min="1" max="1" width="27.54296875" bestFit="1" customWidth="1"/>
    <col min="2" max="2" width="4.7265625" customWidth="1"/>
    <col min="3" max="3" width="31.08984375" bestFit="1" customWidth="1"/>
    <col min="4" max="4" width="4.7265625" customWidth="1"/>
    <col min="5" max="5" width="25.7265625" bestFit="1" customWidth="1"/>
    <col min="6" max="6" width="4.7265625" customWidth="1"/>
    <col min="7" max="7" width="29.54296875" bestFit="1" customWidth="1"/>
    <col min="8" max="8" width="4.7265625" customWidth="1"/>
    <col min="9" max="9" width="28.1796875" bestFit="1" customWidth="1"/>
    <col min="11" max="11" width="83.7265625" bestFit="1" customWidth="1"/>
    <col min="15" max="15" width="34.453125" bestFit="1" customWidth="1"/>
    <col min="17" max="17" width="47.453125" bestFit="1" customWidth="1"/>
  </cols>
  <sheetData>
    <row r="1" spans="1:17" x14ac:dyDescent="0.35">
      <c r="A1" s="2" t="s">
        <v>5</v>
      </c>
      <c r="B1" s="2"/>
      <c r="C1" s="2" t="s">
        <v>6</v>
      </c>
      <c r="E1" s="3" t="s">
        <v>12</v>
      </c>
      <c r="G1" s="3" t="s">
        <v>13</v>
      </c>
      <c r="I1" s="1" t="s">
        <v>10</v>
      </c>
      <c r="K1" s="1" t="s">
        <v>4</v>
      </c>
      <c r="M1" s="1" t="s">
        <v>64</v>
      </c>
      <c r="O1" s="1" t="s">
        <v>65</v>
      </c>
      <c r="Q1" s="1" t="s">
        <v>66</v>
      </c>
    </row>
    <row r="2" spans="1:17" x14ac:dyDescent="0.35">
      <c r="A2" t="s">
        <v>14</v>
      </c>
      <c r="C2" t="s">
        <v>15</v>
      </c>
      <c r="E2" t="s">
        <v>329</v>
      </c>
      <c r="G2" t="s">
        <v>322</v>
      </c>
      <c r="I2" t="s">
        <v>18</v>
      </c>
      <c r="K2" t="s">
        <v>266</v>
      </c>
      <c r="M2" t="s">
        <v>81</v>
      </c>
      <c r="O2" t="s">
        <v>90</v>
      </c>
      <c r="Q2" t="s">
        <v>165</v>
      </c>
    </row>
    <row r="3" spans="1:17" x14ac:dyDescent="0.35">
      <c r="A3" t="s">
        <v>19</v>
      </c>
      <c r="C3" t="s">
        <v>20</v>
      </c>
      <c r="E3" t="s">
        <v>16</v>
      </c>
      <c r="G3" t="s">
        <v>17</v>
      </c>
      <c r="I3" t="s">
        <v>23</v>
      </c>
      <c r="K3" t="s">
        <v>209</v>
      </c>
      <c r="M3" t="s">
        <v>161</v>
      </c>
      <c r="O3" t="s">
        <v>116</v>
      </c>
      <c r="Q3" t="s">
        <v>159</v>
      </c>
    </row>
    <row r="4" spans="1:17" x14ac:dyDescent="0.35">
      <c r="A4" t="s">
        <v>24</v>
      </c>
      <c r="C4" t="s">
        <v>25</v>
      </c>
      <c r="E4" t="s">
        <v>374</v>
      </c>
      <c r="G4" t="s">
        <v>22</v>
      </c>
      <c r="I4" t="s">
        <v>28</v>
      </c>
      <c r="K4" t="s">
        <v>254</v>
      </c>
      <c r="M4" t="s">
        <v>67</v>
      </c>
      <c r="O4" t="s">
        <v>183</v>
      </c>
      <c r="Q4" t="s">
        <v>91</v>
      </c>
    </row>
    <row r="5" spans="1:17" x14ac:dyDescent="0.35">
      <c r="A5" t="s">
        <v>29</v>
      </c>
      <c r="C5" t="s">
        <v>30</v>
      </c>
      <c r="E5" t="s">
        <v>21</v>
      </c>
      <c r="G5" t="s">
        <v>27</v>
      </c>
      <c r="I5" t="s">
        <v>32</v>
      </c>
      <c r="K5" t="s">
        <v>273</v>
      </c>
      <c r="M5" t="s">
        <v>75</v>
      </c>
      <c r="O5" t="s">
        <v>119</v>
      </c>
      <c r="Q5" t="s">
        <v>100</v>
      </c>
    </row>
    <row r="6" spans="1:17" x14ac:dyDescent="0.35">
      <c r="A6" t="s">
        <v>33</v>
      </c>
      <c r="C6" t="s">
        <v>34</v>
      </c>
      <c r="E6" t="s">
        <v>367</v>
      </c>
      <c r="G6" t="s">
        <v>323</v>
      </c>
      <c r="K6" t="s">
        <v>277</v>
      </c>
      <c r="O6" t="s">
        <v>70</v>
      </c>
      <c r="Q6" t="s">
        <v>192</v>
      </c>
    </row>
    <row r="7" spans="1:17" x14ac:dyDescent="0.35">
      <c r="A7" t="s">
        <v>37</v>
      </c>
      <c r="C7" t="s">
        <v>38</v>
      </c>
      <c r="E7" t="s">
        <v>26</v>
      </c>
      <c r="G7" t="s">
        <v>31</v>
      </c>
      <c r="K7" t="s">
        <v>276</v>
      </c>
      <c r="O7" t="s">
        <v>144</v>
      </c>
      <c r="Q7" t="s">
        <v>95</v>
      </c>
    </row>
    <row r="8" spans="1:17" x14ac:dyDescent="0.35">
      <c r="A8" t="s">
        <v>41</v>
      </c>
      <c r="C8" t="s">
        <v>42</v>
      </c>
      <c r="E8" t="s">
        <v>11</v>
      </c>
      <c r="G8" t="s">
        <v>36</v>
      </c>
      <c r="K8" t="s">
        <v>230</v>
      </c>
      <c r="O8" t="s">
        <v>142</v>
      </c>
      <c r="Q8" t="s">
        <v>170</v>
      </c>
    </row>
    <row r="9" spans="1:17" x14ac:dyDescent="0.35">
      <c r="C9" t="s">
        <v>45</v>
      </c>
      <c r="E9" t="s">
        <v>447</v>
      </c>
      <c r="G9" t="s">
        <v>40</v>
      </c>
      <c r="K9" t="s">
        <v>233</v>
      </c>
      <c r="O9" t="s">
        <v>73</v>
      </c>
      <c r="Q9" t="s">
        <v>141</v>
      </c>
    </row>
    <row r="10" spans="1:17" x14ac:dyDescent="0.35">
      <c r="C10" t="s">
        <v>48</v>
      </c>
      <c r="E10" t="s">
        <v>35</v>
      </c>
      <c r="G10" t="s">
        <v>44</v>
      </c>
      <c r="K10" t="s">
        <v>295</v>
      </c>
      <c r="O10" t="s">
        <v>82</v>
      </c>
      <c r="Q10" t="s">
        <v>182</v>
      </c>
    </row>
    <row r="11" spans="1:17" x14ac:dyDescent="0.35">
      <c r="C11" t="s">
        <v>51</v>
      </c>
      <c r="E11" t="s">
        <v>39</v>
      </c>
      <c r="G11" t="s">
        <v>47</v>
      </c>
      <c r="K11" t="s">
        <v>287</v>
      </c>
      <c r="O11" t="s">
        <v>161</v>
      </c>
      <c r="Q11" t="s">
        <v>99</v>
      </c>
    </row>
    <row r="12" spans="1:17" x14ac:dyDescent="0.35">
      <c r="C12" t="s">
        <v>53</v>
      </c>
      <c r="E12" t="s">
        <v>43</v>
      </c>
      <c r="G12" t="s">
        <v>50</v>
      </c>
      <c r="K12" t="s">
        <v>232</v>
      </c>
      <c r="O12" t="s">
        <v>68</v>
      </c>
      <c r="Q12" t="s">
        <v>153</v>
      </c>
    </row>
    <row r="13" spans="1:17" x14ac:dyDescent="0.35">
      <c r="C13" t="s">
        <v>54</v>
      </c>
      <c r="E13" t="s">
        <v>343</v>
      </c>
      <c r="G13" t="s">
        <v>52</v>
      </c>
      <c r="K13" t="s">
        <v>270</v>
      </c>
      <c r="O13" t="s">
        <v>177</v>
      </c>
      <c r="Q13" t="s">
        <v>185</v>
      </c>
    </row>
    <row r="14" spans="1:17" x14ac:dyDescent="0.35">
      <c r="C14" t="s">
        <v>55</v>
      </c>
      <c r="E14" t="s">
        <v>46</v>
      </c>
      <c r="K14" t="s">
        <v>265</v>
      </c>
      <c r="O14" t="s">
        <v>130</v>
      </c>
      <c r="Q14" t="s">
        <v>149</v>
      </c>
    </row>
    <row r="15" spans="1:17" x14ac:dyDescent="0.35">
      <c r="C15" t="s">
        <v>56</v>
      </c>
      <c r="E15" t="s">
        <v>313</v>
      </c>
      <c r="K15" t="s">
        <v>285</v>
      </c>
      <c r="O15" t="s">
        <v>86</v>
      </c>
      <c r="Q15" t="s">
        <v>181</v>
      </c>
    </row>
    <row r="16" spans="1:17" x14ac:dyDescent="0.35">
      <c r="C16" t="s">
        <v>57</v>
      </c>
      <c r="E16" t="s">
        <v>49</v>
      </c>
      <c r="K16" t="s">
        <v>251</v>
      </c>
      <c r="O16" t="s">
        <v>92</v>
      </c>
      <c r="Q16" t="s">
        <v>190</v>
      </c>
    </row>
    <row r="17" spans="3:17" x14ac:dyDescent="0.35">
      <c r="C17" t="s">
        <v>58</v>
      </c>
      <c r="K17" t="s">
        <v>284</v>
      </c>
      <c r="O17" t="s">
        <v>125</v>
      </c>
      <c r="Q17" t="s">
        <v>176</v>
      </c>
    </row>
    <row r="18" spans="3:17" x14ac:dyDescent="0.35">
      <c r="C18" t="s">
        <v>59</v>
      </c>
      <c r="K18" t="s">
        <v>280</v>
      </c>
      <c r="O18" t="s">
        <v>103</v>
      </c>
      <c r="Q18" t="s">
        <v>127</v>
      </c>
    </row>
    <row r="19" spans="3:17" x14ac:dyDescent="0.35">
      <c r="C19" t="s">
        <v>60</v>
      </c>
      <c r="K19" t="s">
        <v>237</v>
      </c>
      <c r="O19" t="s">
        <v>122</v>
      </c>
      <c r="Q19" t="s">
        <v>107</v>
      </c>
    </row>
    <row r="20" spans="3:17" x14ac:dyDescent="0.35">
      <c r="C20" t="s">
        <v>61</v>
      </c>
      <c r="K20" t="s">
        <v>221</v>
      </c>
      <c r="O20" t="s">
        <v>76</v>
      </c>
      <c r="Q20" t="s">
        <v>143</v>
      </c>
    </row>
    <row r="21" spans="3:17" x14ac:dyDescent="0.35">
      <c r="K21" t="s">
        <v>283</v>
      </c>
      <c r="O21" t="s">
        <v>98</v>
      </c>
      <c r="Q21" t="s">
        <v>110</v>
      </c>
    </row>
    <row r="22" spans="3:17" x14ac:dyDescent="0.35">
      <c r="K22" t="s">
        <v>205</v>
      </c>
      <c r="O22" t="s">
        <v>168</v>
      </c>
      <c r="Q22" t="s">
        <v>72</v>
      </c>
    </row>
    <row r="23" spans="3:17" x14ac:dyDescent="0.35">
      <c r="K23" t="s">
        <v>219</v>
      </c>
      <c r="O23" t="s">
        <v>88</v>
      </c>
      <c r="Q23" t="s">
        <v>101</v>
      </c>
    </row>
    <row r="24" spans="3:17" x14ac:dyDescent="0.35">
      <c r="K24" t="s">
        <v>211</v>
      </c>
      <c r="O24" t="s">
        <v>84</v>
      </c>
      <c r="Q24" t="s">
        <v>179</v>
      </c>
    </row>
    <row r="25" spans="3:17" x14ac:dyDescent="0.35">
      <c r="K25" t="s">
        <v>267</v>
      </c>
      <c r="O25" t="s">
        <v>96</v>
      </c>
      <c r="Q25" t="s">
        <v>109</v>
      </c>
    </row>
    <row r="26" spans="3:17" x14ac:dyDescent="0.35">
      <c r="K26" t="s">
        <v>261</v>
      </c>
      <c r="Q26" t="s">
        <v>80</v>
      </c>
    </row>
    <row r="27" spans="3:17" x14ac:dyDescent="0.35">
      <c r="K27" t="s">
        <v>282</v>
      </c>
      <c r="Q27" t="s">
        <v>196</v>
      </c>
    </row>
    <row r="28" spans="3:17" x14ac:dyDescent="0.35">
      <c r="K28" t="s">
        <v>240</v>
      </c>
      <c r="Q28" t="s">
        <v>97</v>
      </c>
    </row>
    <row r="29" spans="3:17" x14ac:dyDescent="0.35">
      <c r="K29" t="s">
        <v>262</v>
      </c>
      <c r="Q29" t="s">
        <v>106</v>
      </c>
    </row>
    <row r="30" spans="3:17" x14ac:dyDescent="0.35">
      <c r="K30" t="s">
        <v>243</v>
      </c>
      <c r="Q30" t="s">
        <v>120</v>
      </c>
    </row>
    <row r="31" spans="3:17" x14ac:dyDescent="0.35">
      <c r="K31" t="s">
        <v>236</v>
      </c>
      <c r="Q31" t="s">
        <v>128</v>
      </c>
    </row>
    <row r="32" spans="3:17" x14ac:dyDescent="0.35">
      <c r="K32" t="s">
        <v>291</v>
      </c>
      <c r="Q32" t="s">
        <v>145</v>
      </c>
    </row>
    <row r="33" spans="11:17" x14ac:dyDescent="0.35">
      <c r="K33" t="s">
        <v>275</v>
      </c>
      <c r="Q33" t="s">
        <v>189</v>
      </c>
    </row>
    <row r="34" spans="11:17" x14ac:dyDescent="0.35">
      <c r="K34" t="s">
        <v>218</v>
      </c>
      <c r="Q34" t="s">
        <v>77</v>
      </c>
    </row>
    <row r="35" spans="11:17" x14ac:dyDescent="0.35">
      <c r="K35" t="s">
        <v>271</v>
      </c>
      <c r="Q35" t="s">
        <v>186</v>
      </c>
    </row>
    <row r="36" spans="11:17" x14ac:dyDescent="0.35">
      <c r="K36" t="s">
        <v>286</v>
      </c>
      <c r="Q36" t="s">
        <v>74</v>
      </c>
    </row>
    <row r="37" spans="11:17" x14ac:dyDescent="0.35">
      <c r="K37" t="s">
        <v>213</v>
      </c>
      <c r="Q37" t="s">
        <v>155</v>
      </c>
    </row>
    <row r="38" spans="11:17" x14ac:dyDescent="0.35">
      <c r="K38" t="s">
        <v>241</v>
      </c>
      <c r="Q38" t="s">
        <v>115</v>
      </c>
    </row>
    <row r="39" spans="11:17" x14ac:dyDescent="0.35">
      <c r="K39" t="s">
        <v>231</v>
      </c>
      <c r="Q39" t="s">
        <v>150</v>
      </c>
    </row>
    <row r="40" spans="11:17" x14ac:dyDescent="0.35">
      <c r="K40" t="s">
        <v>253</v>
      </c>
      <c r="Q40" t="s">
        <v>137</v>
      </c>
    </row>
    <row r="41" spans="11:17" x14ac:dyDescent="0.35">
      <c r="K41" t="s">
        <v>235</v>
      </c>
      <c r="Q41" t="s">
        <v>83</v>
      </c>
    </row>
    <row r="42" spans="11:17" x14ac:dyDescent="0.35">
      <c r="K42" t="s">
        <v>299</v>
      </c>
      <c r="Q42" t="s">
        <v>140</v>
      </c>
    </row>
    <row r="43" spans="11:17" x14ac:dyDescent="0.35">
      <c r="K43" t="s">
        <v>289</v>
      </c>
      <c r="Q43" t="s">
        <v>169</v>
      </c>
    </row>
    <row r="44" spans="11:17" x14ac:dyDescent="0.35">
      <c r="K44" t="s">
        <v>298</v>
      </c>
      <c r="Q44" t="s">
        <v>132</v>
      </c>
    </row>
    <row r="45" spans="11:17" x14ac:dyDescent="0.35">
      <c r="K45" t="s">
        <v>268</v>
      </c>
      <c r="Q45" t="s">
        <v>148</v>
      </c>
    </row>
    <row r="46" spans="11:17" x14ac:dyDescent="0.35">
      <c r="K46" t="s">
        <v>293</v>
      </c>
      <c r="Q46" t="s">
        <v>71</v>
      </c>
    </row>
    <row r="47" spans="11:17" x14ac:dyDescent="0.35">
      <c r="K47" t="s">
        <v>198</v>
      </c>
      <c r="Q47" t="s">
        <v>187</v>
      </c>
    </row>
    <row r="48" spans="11:17" x14ac:dyDescent="0.35">
      <c r="K48" t="s">
        <v>227</v>
      </c>
      <c r="Q48" t="s">
        <v>167</v>
      </c>
    </row>
    <row r="49" spans="11:17" x14ac:dyDescent="0.35">
      <c r="K49" t="s">
        <v>222</v>
      </c>
      <c r="Q49" t="s">
        <v>184</v>
      </c>
    </row>
    <row r="50" spans="11:17" x14ac:dyDescent="0.35">
      <c r="K50" t="s">
        <v>252</v>
      </c>
      <c r="Q50" t="s">
        <v>102</v>
      </c>
    </row>
    <row r="51" spans="11:17" x14ac:dyDescent="0.35">
      <c r="K51" t="s">
        <v>200</v>
      </c>
      <c r="Q51" t="s">
        <v>79</v>
      </c>
    </row>
    <row r="52" spans="11:17" x14ac:dyDescent="0.35">
      <c r="K52" t="s">
        <v>217</v>
      </c>
      <c r="Q52" t="s">
        <v>193</v>
      </c>
    </row>
    <row r="53" spans="11:17" x14ac:dyDescent="0.35">
      <c r="K53" t="s">
        <v>203</v>
      </c>
      <c r="Q53" t="s">
        <v>113</v>
      </c>
    </row>
    <row r="54" spans="11:17" x14ac:dyDescent="0.35">
      <c r="K54" t="s">
        <v>278</v>
      </c>
      <c r="Q54" t="s">
        <v>151</v>
      </c>
    </row>
    <row r="55" spans="11:17" x14ac:dyDescent="0.35">
      <c r="K55" t="s">
        <v>225</v>
      </c>
      <c r="Q55" t="s">
        <v>195</v>
      </c>
    </row>
    <row r="56" spans="11:17" x14ac:dyDescent="0.35">
      <c r="K56" t="s">
        <v>212</v>
      </c>
      <c r="Q56" t="s">
        <v>164</v>
      </c>
    </row>
    <row r="57" spans="11:17" x14ac:dyDescent="0.35">
      <c r="K57" t="s">
        <v>199</v>
      </c>
      <c r="Q57" t="s">
        <v>156</v>
      </c>
    </row>
    <row r="58" spans="11:17" x14ac:dyDescent="0.35">
      <c r="K58" t="s">
        <v>216</v>
      </c>
      <c r="Q58" t="s">
        <v>93</v>
      </c>
    </row>
    <row r="59" spans="11:17" x14ac:dyDescent="0.35">
      <c r="K59" t="s">
        <v>229</v>
      </c>
      <c r="Q59" t="s">
        <v>85</v>
      </c>
    </row>
    <row r="60" spans="11:17" x14ac:dyDescent="0.35">
      <c r="K60" t="s">
        <v>246</v>
      </c>
      <c r="Q60" t="s">
        <v>78</v>
      </c>
    </row>
    <row r="61" spans="11:17" x14ac:dyDescent="0.35">
      <c r="K61" t="s">
        <v>249</v>
      </c>
      <c r="Q61" t="s">
        <v>139</v>
      </c>
    </row>
    <row r="62" spans="11:17" x14ac:dyDescent="0.35">
      <c r="K62" t="s">
        <v>258</v>
      </c>
      <c r="Q62" t="s">
        <v>89</v>
      </c>
    </row>
    <row r="63" spans="11:17" x14ac:dyDescent="0.35">
      <c r="K63" t="s">
        <v>197</v>
      </c>
      <c r="Q63" t="s">
        <v>166</v>
      </c>
    </row>
    <row r="64" spans="11:17" x14ac:dyDescent="0.35">
      <c r="K64" t="s">
        <v>259</v>
      </c>
      <c r="Q64" t="s">
        <v>105</v>
      </c>
    </row>
    <row r="65" spans="11:17" x14ac:dyDescent="0.35">
      <c r="K65" t="s">
        <v>228</v>
      </c>
      <c r="Q65" t="s">
        <v>157</v>
      </c>
    </row>
    <row r="66" spans="11:17" x14ac:dyDescent="0.35">
      <c r="K66" t="s">
        <v>245</v>
      </c>
      <c r="Q66" t="s">
        <v>94</v>
      </c>
    </row>
    <row r="67" spans="11:17" x14ac:dyDescent="0.35">
      <c r="K67" t="s">
        <v>257</v>
      </c>
      <c r="Q67" t="s">
        <v>172</v>
      </c>
    </row>
    <row r="68" spans="11:17" x14ac:dyDescent="0.35">
      <c r="K68" t="s">
        <v>263</v>
      </c>
      <c r="Q68" t="s">
        <v>173</v>
      </c>
    </row>
    <row r="69" spans="11:17" x14ac:dyDescent="0.35">
      <c r="K69" t="s">
        <v>272</v>
      </c>
      <c r="Q69" t="s">
        <v>171</v>
      </c>
    </row>
    <row r="70" spans="11:17" x14ac:dyDescent="0.35">
      <c r="K70" t="s">
        <v>207</v>
      </c>
      <c r="Q70" t="s">
        <v>118</v>
      </c>
    </row>
    <row r="71" spans="11:17" x14ac:dyDescent="0.35">
      <c r="K71" t="s">
        <v>255</v>
      </c>
      <c r="Q71" t="s">
        <v>69</v>
      </c>
    </row>
    <row r="72" spans="11:17" x14ac:dyDescent="0.35">
      <c r="K72" t="s">
        <v>210</v>
      </c>
      <c r="Q72" t="s">
        <v>104</v>
      </c>
    </row>
    <row r="73" spans="11:17" x14ac:dyDescent="0.35">
      <c r="K73" t="s">
        <v>269</v>
      </c>
      <c r="Q73" t="s">
        <v>87</v>
      </c>
    </row>
    <row r="74" spans="11:17" x14ac:dyDescent="0.35">
      <c r="K74" t="s">
        <v>242</v>
      </c>
      <c r="Q74" t="s">
        <v>180</v>
      </c>
    </row>
    <row r="75" spans="11:17" x14ac:dyDescent="0.35">
      <c r="K75" t="s">
        <v>244</v>
      </c>
      <c r="Q75" t="s">
        <v>112</v>
      </c>
    </row>
    <row r="76" spans="11:17" x14ac:dyDescent="0.35">
      <c r="K76" t="s">
        <v>234</v>
      </c>
      <c r="Q76" t="s">
        <v>158</v>
      </c>
    </row>
    <row r="77" spans="11:17" x14ac:dyDescent="0.35">
      <c r="K77" t="s">
        <v>260</v>
      </c>
      <c r="Q77" t="s">
        <v>108</v>
      </c>
    </row>
    <row r="78" spans="11:17" x14ac:dyDescent="0.35">
      <c r="K78" t="s">
        <v>256</v>
      </c>
      <c r="Q78" t="s">
        <v>152</v>
      </c>
    </row>
    <row r="79" spans="11:17" x14ac:dyDescent="0.35">
      <c r="K79" t="s">
        <v>224</v>
      </c>
      <c r="Q79" t="s">
        <v>114</v>
      </c>
    </row>
    <row r="80" spans="11:17" x14ac:dyDescent="0.35">
      <c r="K80" t="s">
        <v>223</v>
      </c>
      <c r="Q80" t="s">
        <v>134</v>
      </c>
    </row>
    <row r="81" spans="11:17" x14ac:dyDescent="0.35">
      <c r="K81" t="s">
        <v>204</v>
      </c>
      <c r="Q81" t="s">
        <v>126</v>
      </c>
    </row>
    <row r="82" spans="11:17" x14ac:dyDescent="0.35">
      <c r="K82" t="s">
        <v>220</v>
      </c>
      <c r="Q82" t="s">
        <v>188</v>
      </c>
    </row>
    <row r="83" spans="11:17" x14ac:dyDescent="0.35">
      <c r="K83" t="s">
        <v>201</v>
      </c>
      <c r="Q83" t="s">
        <v>191</v>
      </c>
    </row>
    <row r="84" spans="11:17" x14ac:dyDescent="0.35">
      <c r="K84" t="s">
        <v>290</v>
      </c>
      <c r="Q84" t="s">
        <v>138</v>
      </c>
    </row>
    <row r="85" spans="11:17" x14ac:dyDescent="0.35">
      <c r="K85" t="s">
        <v>296</v>
      </c>
      <c r="Q85" t="s">
        <v>178</v>
      </c>
    </row>
    <row r="86" spans="11:17" x14ac:dyDescent="0.35">
      <c r="K86" t="s">
        <v>202</v>
      </c>
      <c r="Q86" t="s">
        <v>117</v>
      </c>
    </row>
    <row r="87" spans="11:17" x14ac:dyDescent="0.35">
      <c r="K87" t="s">
        <v>297</v>
      </c>
      <c r="Q87" t="s">
        <v>175</v>
      </c>
    </row>
    <row r="88" spans="11:17" x14ac:dyDescent="0.35">
      <c r="K88" t="s">
        <v>250</v>
      </c>
      <c r="Q88" t="s">
        <v>131</v>
      </c>
    </row>
    <row r="89" spans="11:17" x14ac:dyDescent="0.35">
      <c r="K89" t="s">
        <v>214</v>
      </c>
      <c r="Q89" t="s">
        <v>123</v>
      </c>
    </row>
    <row r="90" spans="11:17" x14ac:dyDescent="0.35">
      <c r="K90" t="s">
        <v>238</v>
      </c>
      <c r="Q90" t="s">
        <v>162</v>
      </c>
    </row>
    <row r="91" spans="11:17" x14ac:dyDescent="0.35">
      <c r="K91" t="s">
        <v>248</v>
      </c>
      <c r="Q91" t="s">
        <v>111</v>
      </c>
    </row>
    <row r="92" spans="11:17" x14ac:dyDescent="0.35">
      <c r="K92" t="s">
        <v>264</v>
      </c>
      <c r="Q92" t="s">
        <v>163</v>
      </c>
    </row>
    <row r="93" spans="11:17" x14ac:dyDescent="0.35">
      <c r="K93" t="s">
        <v>294</v>
      </c>
      <c r="Q93" t="s">
        <v>174</v>
      </c>
    </row>
    <row r="94" spans="11:17" x14ac:dyDescent="0.35">
      <c r="K94" t="s">
        <v>247</v>
      </c>
      <c r="Q94" t="s">
        <v>147</v>
      </c>
    </row>
    <row r="95" spans="11:17" x14ac:dyDescent="0.35">
      <c r="K95" t="s">
        <v>279</v>
      </c>
      <c r="Q95" t="s">
        <v>160</v>
      </c>
    </row>
    <row r="96" spans="11:17" x14ac:dyDescent="0.35">
      <c r="K96" t="s">
        <v>239</v>
      </c>
      <c r="Q96" t="s">
        <v>133</v>
      </c>
    </row>
    <row r="97" spans="11:17" x14ac:dyDescent="0.35">
      <c r="K97" t="s">
        <v>274</v>
      </c>
      <c r="Q97" t="s">
        <v>135</v>
      </c>
    </row>
    <row r="98" spans="11:17" x14ac:dyDescent="0.35">
      <c r="K98" t="s">
        <v>288</v>
      </c>
      <c r="Q98" t="s">
        <v>146</v>
      </c>
    </row>
    <row r="99" spans="11:17" x14ac:dyDescent="0.35">
      <c r="K99" t="s">
        <v>281</v>
      </c>
      <c r="Q99" t="s">
        <v>154</v>
      </c>
    </row>
    <row r="100" spans="11:17" x14ac:dyDescent="0.35">
      <c r="K100" t="s">
        <v>292</v>
      </c>
      <c r="Q100" t="s">
        <v>194</v>
      </c>
    </row>
    <row r="101" spans="11:17" x14ac:dyDescent="0.35">
      <c r="K101" t="s">
        <v>208</v>
      </c>
      <c r="Q101" t="s">
        <v>121</v>
      </c>
    </row>
    <row r="102" spans="11:17" x14ac:dyDescent="0.35">
      <c r="K102" t="s">
        <v>226</v>
      </c>
      <c r="Q102" t="s">
        <v>129</v>
      </c>
    </row>
    <row r="103" spans="11:17" x14ac:dyDescent="0.35">
      <c r="K103" t="s">
        <v>215</v>
      </c>
      <c r="Q103" t="s">
        <v>136</v>
      </c>
    </row>
    <row r="104" spans="11:17" x14ac:dyDescent="0.35">
      <c r="K104" t="s">
        <v>206</v>
      </c>
      <c r="Q104" t="s">
        <v>124</v>
      </c>
    </row>
  </sheetData>
  <autoFilter ref="Q1:Q104" xr:uid="{87A95D7B-C802-4555-A882-80DE6C79BD35}">
    <sortState xmlns:xlrd2="http://schemas.microsoft.com/office/spreadsheetml/2017/richdata2" ref="Q2:Q104">
      <sortCondition ref="Q1:Q104"/>
    </sortState>
  </autoFilter>
  <sortState xmlns:xlrd2="http://schemas.microsoft.com/office/spreadsheetml/2017/richdata2" ref="E2:E16">
    <sortCondition ref="E7:E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0317B911211E4E81004BD7F4731DF1" ma:contentTypeVersion="3" ma:contentTypeDescription="Create a new document." ma:contentTypeScope="" ma:versionID="6dbf87649a8941d3deccfa850ccf9064">
  <xsd:schema xmlns:xsd="http://www.w3.org/2001/XMLSchema" xmlns:xs="http://www.w3.org/2001/XMLSchema" xmlns:p="http://schemas.microsoft.com/office/2006/metadata/properties" xmlns:ns2="2ed98f7f-dc16-4428-905b-d135ee18623c" targetNamespace="http://schemas.microsoft.com/office/2006/metadata/properties" ma:root="true" ma:fieldsID="51e67b897fedb9d7d923da72ed771e59" ns2:_="">
    <xsd:import namespace="2ed98f7f-dc16-4428-905b-d135ee1862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d98f7f-dc16-4428-905b-d135ee1862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0DCDFF-1ED0-4DB4-8A6E-5B7950EB52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d98f7f-dc16-4428-905b-d135ee1862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8BBE51-67FC-4916-AD2A-D01AEC64264A}">
  <ds:schemaRefs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2ed98f7f-dc16-4428-905b-d135ee18623c"/>
  </ds:schemaRefs>
</ds:datastoreItem>
</file>

<file path=customXml/itemProps3.xml><?xml version="1.0" encoding="utf-8"?>
<ds:datastoreItem xmlns:ds="http://schemas.openxmlformats.org/officeDocument/2006/customXml" ds:itemID="{88A05E90-2528-46E6-AF8B-28D9068D25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GUIA GENERAL DPTO. SERVICIOS</vt:lpstr>
      <vt:lpstr>Resumen</vt:lpstr>
      <vt:lpstr>ADJUDICACIONES</vt:lpstr>
      <vt:lpstr>Lista opciones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Giraldo, Cristina</dc:creator>
  <cp:lastModifiedBy>Giraldo, Cristina</cp:lastModifiedBy>
  <dcterms:created xsi:type="dcterms:W3CDTF">2026-01-28T19:40:25Z</dcterms:created>
  <dcterms:modified xsi:type="dcterms:W3CDTF">2026-05-21T07:30:33Z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0x010100340317B911211E4E81004BD7F4731DF1</vt:lpwstr>
  </property>
</Properties>
</file>